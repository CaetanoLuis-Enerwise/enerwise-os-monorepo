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Projeto Final de curso\"/>
    </mc:Choice>
  </mc:AlternateContent>
  <xr:revisionPtr revIDLastSave="0" documentId="8_{0C450EFE-5535-4F4B-94BC-5F2B74EEFA06}" xr6:coauthVersionLast="47" xr6:coauthVersionMax="47" xr10:uidLastSave="{00000000-0000-0000-0000-000000000000}"/>
  <bookViews>
    <workbookView xWindow="2304" yWindow="1656" windowWidth="18180" windowHeight="11304" activeTab="4" xr2:uid="{4B168C3E-085C-460E-8CE3-DDCE58253E3C}"/>
  </bookViews>
  <sheets>
    <sheet name="RTIEBT" sheetId="3" r:id="rId1"/>
    <sheet name="potencia_Apar." sheetId="1" r:id="rId2"/>
    <sheet name="Contador" sheetId="12" r:id="rId3"/>
    <sheet name="QSC" sheetId="2" r:id="rId4"/>
    <sheet name="QE-1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V23" i="2" s="1"/>
  <c r="V23" i="4"/>
  <c r="K10" i="4"/>
  <c r="J35" i="4"/>
  <c r="J36" i="4"/>
  <c r="J39" i="4"/>
  <c r="J40" i="4"/>
  <c r="J41" i="4"/>
  <c r="J34" i="4"/>
  <c r="J23" i="4"/>
  <c r="E4" i="4"/>
  <c r="G29" i="4"/>
  <c r="G26" i="4"/>
  <c r="G25" i="4"/>
  <c r="G24" i="4"/>
  <c r="G23" i="4"/>
  <c r="G27" i="4"/>
  <c r="H28" i="1"/>
  <c r="H27" i="1"/>
  <c r="G30" i="4" s="1"/>
  <c r="K30" i="4"/>
  <c r="K29" i="4"/>
  <c r="K27" i="4"/>
  <c r="K26" i="4"/>
  <c r="K25" i="4"/>
  <c r="K24" i="4"/>
  <c r="K23" i="4"/>
  <c r="M16" i="4"/>
  <c r="D25" i="4"/>
  <c r="H3" i="2"/>
  <c r="C4" i="2"/>
  <c r="C6" i="2"/>
  <c r="C6" i="12"/>
  <c r="R11" i="12" s="1"/>
  <c r="C5" i="12"/>
  <c r="C15" i="12"/>
  <c r="C17" i="12"/>
  <c r="C16" i="12"/>
  <c r="E5" i="4"/>
  <c r="Q11" i="4" s="1"/>
  <c r="C3" i="2"/>
  <c r="I11" i="2" l="1"/>
  <c r="M16" i="12"/>
  <c r="M12" i="2"/>
  <c r="L27" i="12"/>
  <c r="O12" i="2"/>
  <c r="K17" i="2" s="1"/>
  <c r="C2" i="2"/>
  <c r="P11" i="12"/>
  <c r="C2" i="12"/>
  <c r="L36" i="12"/>
  <c r="M36" i="12" s="1"/>
  <c r="Y36" i="12" s="1"/>
  <c r="L34" i="12"/>
  <c r="M34" i="12" s="1"/>
  <c r="Y34" i="12" s="1"/>
  <c r="K34" i="12"/>
  <c r="L33" i="12"/>
  <c r="K33" i="12"/>
  <c r="J33" i="12"/>
  <c r="H33" i="12"/>
  <c r="L32" i="12"/>
  <c r="K32" i="12"/>
  <c r="J32" i="12"/>
  <c r="H32" i="12"/>
  <c r="L31" i="12"/>
  <c r="K31" i="12"/>
  <c r="J31" i="12"/>
  <c r="H31" i="12"/>
  <c r="L30" i="12"/>
  <c r="K30" i="12"/>
  <c r="J30" i="12"/>
  <c r="H30" i="12"/>
  <c r="L29" i="12"/>
  <c r="K29" i="12"/>
  <c r="J29" i="12"/>
  <c r="H29" i="12"/>
  <c r="L28" i="12"/>
  <c r="K28" i="12"/>
  <c r="J28" i="12"/>
  <c r="H28" i="12"/>
  <c r="K27" i="12"/>
  <c r="J27" i="12"/>
  <c r="H27" i="12"/>
  <c r="I30" i="4"/>
  <c r="H30" i="4"/>
  <c r="I29" i="4"/>
  <c r="H29" i="4"/>
  <c r="I28" i="4"/>
  <c r="H28" i="4"/>
  <c r="D28" i="4"/>
  <c r="I27" i="4"/>
  <c r="H27" i="4"/>
  <c r="I26" i="4"/>
  <c r="H26" i="4"/>
  <c r="D26" i="4"/>
  <c r="I25" i="4"/>
  <c r="H25" i="4"/>
  <c r="I24" i="4"/>
  <c r="J24" i="4"/>
  <c r="V24" i="4" s="1"/>
  <c r="D24" i="4"/>
  <c r="I23" i="4"/>
  <c r="H23" i="4"/>
  <c r="O11" i="4"/>
  <c r="E2" i="4"/>
  <c r="J28" i="4" l="1"/>
  <c r="J26" i="4"/>
  <c r="V26" i="4" s="1"/>
  <c r="J27" i="4"/>
  <c r="V27" i="4" s="1"/>
  <c r="J29" i="4"/>
  <c r="V29" i="4" s="1"/>
  <c r="V28" i="4"/>
  <c r="J25" i="4"/>
  <c r="J30" i="4"/>
  <c r="V30" i="4" s="1"/>
  <c r="K12" i="2"/>
  <c r="M27" i="12"/>
  <c r="Y27" i="12" s="1"/>
  <c r="H38" i="12"/>
  <c r="M28" i="12"/>
  <c r="Y28" i="12" s="1"/>
  <c r="I28" i="12"/>
  <c r="I30" i="12"/>
  <c r="M30" i="12"/>
  <c r="Y30" i="12" s="1"/>
  <c r="I27" i="12"/>
  <c r="I31" i="12"/>
  <c r="M31" i="12"/>
  <c r="Y31" i="12" s="1"/>
  <c r="I33" i="12"/>
  <c r="M33" i="12"/>
  <c r="Y33" i="12" s="1"/>
  <c r="I29" i="12"/>
  <c r="M29" i="12"/>
  <c r="L10" i="12" s="1"/>
  <c r="K19" i="12" s="1"/>
  <c r="L19" i="12" s="1"/>
  <c r="I32" i="12"/>
  <c r="M32" i="12"/>
  <c r="Y32" i="12" s="1"/>
  <c r="I34" i="12"/>
  <c r="V25" i="4" l="1"/>
  <c r="I38" i="12"/>
  <c r="Y29" i="12"/>
  <c r="M11" i="4"/>
  <c r="D8" i="1"/>
  <c r="D9" i="1"/>
  <c r="D10" i="1"/>
  <c r="D12" i="1"/>
  <c r="D13" i="1"/>
  <c r="D16" i="1"/>
  <c r="D18" i="1"/>
  <c r="D21" i="1"/>
  <c r="D22" i="1"/>
  <c r="D23" i="1"/>
  <c r="D24" i="1"/>
  <c r="D26" i="1"/>
  <c r="D27" i="1"/>
  <c r="D28" i="1"/>
  <c r="H7" i="1"/>
  <c r="H8" i="1"/>
  <c r="H9" i="1"/>
  <c r="H10" i="1"/>
  <c r="H13" i="1"/>
  <c r="H14" i="1"/>
  <c r="H15" i="1"/>
  <c r="H16" i="1"/>
  <c r="H17" i="1"/>
  <c r="H20" i="1"/>
  <c r="H21" i="1"/>
  <c r="H22" i="1"/>
  <c r="H25" i="1"/>
  <c r="H26" i="1"/>
  <c r="H29" i="1"/>
  <c r="N11" i="12" l="1"/>
</calcChain>
</file>

<file path=xl/sharedStrings.xml><?xml version="1.0" encoding="utf-8"?>
<sst xmlns="http://schemas.openxmlformats.org/spreadsheetml/2006/main" count="598" uniqueCount="246">
  <si>
    <t>Potencia dos aparelhos:</t>
  </si>
  <si>
    <t>Cozinha:</t>
  </si>
  <si>
    <t>Aquecimento /arrefecimento:</t>
  </si>
  <si>
    <t>kW</t>
  </si>
  <si>
    <t>bomba de calor</t>
  </si>
  <si>
    <t>Exaustor</t>
  </si>
  <si>
    <t>ar condicionado</t>
  </si>
  <si>
    <t>Frig. Minibar:</t>
  </si>
  <si>
    <t>lareira eletrica</t>
  </si>
  <si>
    <t>Placa indução</t>
  </si>
  <si>
    <t>esquenta. ele. Acu.</t>
  </si>
  <si>
    <t>Forno eletrico</t>
  </si>
  <si>
    <t>Fogao eletrico</t>
  </si>
  <si>
    <t>iluminação:</t>
  </si>
  <si>
    <t>Arca congeladora</t>
  </si>
  <si>
    <t>lampada led</t>
  </si>
  <si>
    <t>maq. Lavar roupa 8kg</t>
  </si>
  <si>
    <t>lamp. Flu. compacta</t>
  </si>
  <si>
    <t>maq. secar roupa 7kg</t>
  </si>
  <si>
    <t>lamp. Fluorescente</t>
  </si>
  <si>
    <t>lamp. Halogeneo</t>
  </si>
  <si>
    <t>maq. Lavar loiça</t>
  </si>
  <si>
    <t>lamp. Incandescente</t>
  </si>
  <si>
    <t>Frig. Americano:</t>
  </si>
  <si>
    <t>Mobilidade eletrica:</t>
  </si>
  <si>
    <t>Sala/Escritorio:</t>
  </si>
  <si>
    <t>Carro eletrico(rapido)</t>
  </si>
  <si>
    <t>Computador portatil</t>
  </si>
  <si>
    <t>Carro eletrico(lento)</t>
  </si>
  <si>
    <t>Box TV</t>
  </si>
  <si>
    <t>trotinete eletrica</t>
  </si>
  <si>
    <t>sistema wifi</t>
  </si>
  <si>
    <t>DVD</t>
  </si>
  <si>
    <t>outros:</t>
  </si>
  <si>
    <t>aparelho de som</t>
  </si>
  <si>
    <t>ferro engomar</t>
  </si>
  <si>
    <t>TV plasma (30 a 42)</t>
  </si>
  <si>
    <t>secador cabelo</t>
  </si>
  <si>
    <t>TV plasma (ate 30)</t>
  </si>
  <si>
    <t>alisador cabelo</t>
  </si>
  <si>
    <t>telemovel</t>
  </si>
  <si>
    <t>TV plasma (sup. a 42)</t>
  </si>
  <si>
    <t>maq.s.r(bomba calor)</t>
  </si>
  <si>
    <t>Eficiência</t>
  </si>
  <si>
    <t>A eficiência da maioria desses aparelhos é dependente do design. Normalmente:</t>
  </si>
  <si>
    <r>
      <t xml:space="preserve">Equipamentos resistivos (ferro de engomar, aquecedores, lareira elétrica) têm </t>
    </r>
    <r>
      <rPr>
        <b/>
        <sz val="11"/>
        <color theme="1"/>
        <rFont val="Aptos Narrow"/>
        <family val="2"/>
        <scheme val="minor"/>
      </rPr>
      <t>eficiência próxima a 100%</t>
    </r>
    <r>
      <rPr>
        <sz val="11"/>
        <color theme="1"/>
        <rFont val="Aptos Narrow"/>
        <family val="2"/>
        <scheme val="minor"/>
      </rPr>
      <t>.</t>
    </r>
  </si>
  <si>
    <r>
      <t xml:space="preserve">Equipamentos com motores ou compressores, como frigoríficos e máquinas de lavar, têm eficiência média entre </t>
    </r>
    <r>
      <rPr>
        <b/>
        <sz val="11"/>
        <color theme="1"/>
        <rFont val="Aptos Narrow"/>
        <family val="2"/>
        <scheme val="minor"/>
      </rPr>
      <t>70–90%</t>
    </r>
    <r>
      <rPr>
        <sz val="11"/>
        <color theme="1"/>
        <rFont val="Aptos Narrow"/>
        <family val="2"/>
        <scheme val="minor"/>
      </rPr>
      <t>, dependendo da classe energética.</t>
    </r>
  </si>
  <si>
    <t>Notas Importantes:</t>
  </si>
  <si>
    <t>1. Aparelhos de alta potência simultâneos:</t>
  </si>
  <si>
    <r>
      <t xml:space="preserve">O uso de equipamentos como </t>
    </r>
    <r>
      <rPr>
        <b/>
        <sz val="11"/>
        <color theme="1"/>
        <rFont val="Aptos Narrow"/>
        <family val="2"/>
        <scheme val="minor"/>
      </rPr>
      <t>carros elétricos</t>
    </r>
    <r>
      <rPr>
        <sz val="11"/>
        <color theme="1"/>
        <rFont val="Aptos Narrow"/>
        <family val="2"/>
        <scheme val="minor"/>
      </rPr>
      <t xml:space="preserve"> (rápido ou lento), </t>
    </r>
    <r>
      <rPr>
        <b/>
        <sz val="11"/>
        <color theme="1"/>
        <rFont val="Aptos Narrow"/>
        <family val="2"/>
        <scheme val="minor"/>
      </rPr>
      <t>bomba de calor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lareira elétrica</t>
    </r>
    <r>
      <rPr>
        <sz val="11"/>
        <color theme="1"/>
        <rFont val="Aptos Narrow"/>
        <family val="2"/>
        <scheme val="minor"/>
      </rPr>
      <t xml:space="preserve"> simultaneamente pode sobrecarregar a instalação, especialmente em potências contratadas baixas.</t>
    </r>
  </si>
  <si>
    <t>2. Planejamento por prioridades:</t>
  </si>
  <si>
    <t>É recomendado planejar o uso, ligando aparelhos com maior consumo em horários diferentes (ex.: carregar carro à noite, usar máquinas de lavar durante o dia).</t>
  </si>
  <si>
    <t>Com 10,35 kVA (o limite da corrente é 45A):</t>
  </si>
  <si>
    <r>
      <t xml:space="preserve">Permite operar </t>
    </r>
    <r>
      <rPr>
        <b/>
        <sz val="11"/>
        <color theme="1"/>
        <rFont val="Aptos Narrow"/>
        <family val="2"/>
        <scheme val="minor"/>
      </rPr>
      <t>3 ou 4 aparelhos de média potência simultaneamente</t>
    </r>
    <r>
      <rPr>
        <sz val="11"/>
        <color theme="1"/>
        <rFont val="Aptos Narrow"/>
        <family val="2"/>
        <scheme val="minor"/>
      </rPr>
      <t xml:space="preserve"> (ex.: forno + máquina de lavar roupa + ar condicionado).</t>
    </r>
  </si>
  <si>
    <t>Pode operar 1 aparelho de alta potência (ex.: carro elétrico lento, com 16,1 A) junto com 2 de média potência.</t>
  </si>
  <si>
    <t>Com 20,7 kVA (90 A) (instalações robustas)</t>
  </si>
  <si>
    <t>Quase todos os equipamentos podem operar simultaneamente, exceto combinações extremas, como 2 carros elétricos.</t>
  </si>
  <si>
    <r>
      <t>U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=</t>
    </r>
  </si>
  <si>
    <t>V</t>
  </si>
  <si>
    <t>ρ=</t>
  </si>
  <si>
    <t>Ω⋅mm2/m (resistividade do cobre)</t>
  </si>
  <si>
    <t>ΔU ≈</t>
  </si>
  <si>
    <t xml:space="preserve">fator correção </t>
  </si>
  <si>
    <t>1º Calculo de Potencia absorvida:</t>
  </si>
  <si>
    <t xml:space="preserve">1ª Condição </t>
  </si>
  <si>
    <r>
      <t>I</t>
    </r>
    <r>
      <rPr>
        <vertAlign val="subscript"/>
        <sz val="11"/>
        <color theme="1"/>
        <rFont val="Aptos Narrow"/>
        <family val="2"/>
        <scheme val="minor"/>
      </rPr>
      <t>b</t>
    </r>
  </si>
  <si>
    <t>≤</t>
  </si>
  <si>
    <r>
      <t>I</t>
    </r>
    <r>
      <rPr>
        <vertAlign val="subscript"/>
        <sz val="11"/>
        <color theme="1"/>
        <rFont val="Aptos Narrow"/>
        <family val="2"/>
        <scheme val="minor"/>
      </rPr>
      <t>n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</si>
  <si>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zm</t>
    </r>
  </si>
  <si>
    <t>2º Calculo da corrente</t>
  </si>
  <si>
    <r>
      <t>I</t>
    </r>
    <r>
      <rPr>
        <vertAlign val="subscript"/>
        <sz val="11"/>
        <color theme="1"/>
        <rFont val="Aptos Narrow"/>
        <family val="2"/>
        <scheme val="minor"/>
      </rPr>
      <t>z</t>
    </r>
  </si>
  <si>
    <t>I =</t>
  </si>
  <si>
    <t>cabo S</t>
  </si>
  <si>
    <t>3º Ir a tabela de modos de instalação</t>
  </si>
  <si>
    <t xml:space="preserve">2ª Condição </t>
  </si>
  <si>
    <r>
      <t>I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</si>
  <si>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1,45*I</t>
    </r>
    <r>
      <rPr>
        <vertAlign val="subscript"/>
        <sz val="11"/>
        <color theme="1"/>
        <rFont val="Aptos Narrow"/>
        <family val="2"/>
        <scheme val="minor"/>
      </rPr>
      <t>z</t>
    </r>
  </si>
  <si>
    <t>ΔU=</t>
  </si>
  <si>
    <t>Circuito</t>
  </si>
  <si>
    <t>Local</t>
  </si>
  <si>
    <t>Tipo Circuito</t>
  </si>
  <si>
    <t>S(kVA)</t>
  </si>
  <si>
    <t>coef. simul.</t>
  </si>
  <si>
    <t>U(V)</t>
  </si>
  <si>
    <t>Ib (A)</t>
  </si>
  <si>
    <t>Disjuntor</t>
  </si>
  <si>
    <t>Monofásico</t>
  </si>
  <si>
    <t>Piso 1</t>
  </si>
  <si>
    <t>secador/alisador de cabelo</t>
  </si>
  <si>
    <t>Modos de instalação</t>
  </si>
  <si>
    <r>
      <t xml:space="preserve">1 </t>
    </r>
    <r>
      <rPr>
        <b/>
        <sz val="12"/>
        <color theme="1"/>
        <rFont val="Aptos Narrow"/>
        <family val="2"/>
      </rPr>
      <t xml:space="preserve">→ </t>
    </r>
    <r>
      <rPr>
        <b/>
        <sz val="12"/>
        <color theme="1"/>
        <rFont val="Aptos Narrow"/>
        <family val="2"/>
        <scheme val="minor"/>
      </rPr>
      <t>No quadro 52H são indicados exemplos de modos de instalação de canalizações. Pag. 60</t>
    </r>
  </si>
  <si>
    <t>Em instalações residenciais, como um circuito de tomadas, o tipo de cabo depende do ambiente e do método de instalação.</t>
  </si>
  <si>
    <r>
      <t>No nosso caso para instalações em apartamentos vamos usar condutores embebidos em paredes de alvenaria ou em tubagem</t>
    </r>
    <r>
      <rPr>
        <sz val="11"/>
        <color theme="1"/>
        <rFont val="Aptos Narrow"/>
        <family val="2"/>
        <scheme val="minor"/>
      </rPr>
      <t>:</t>
    </r>
  </si>
  <si>
    <r>
      <rPr>
        <b/>
        <sz val="11"/>
        <color theme="1"/>
        <rFont val="Aptos Narrow"/>
        <family val="2"/>
      </rPr>
      <t>→</t>
    </r>
    <r>
      <rPr>
        <b/>
        <sz val="11"/>
        <color theme="1"/>
        <rFont val="Aptos Narrow"/>
        <family val="2"/>
        <scheme val="minor"/>
      </rPr>
      <t xml:space="preserve"> Instalação interna</t>
    </r>
  </si>
  <si>
    <r>
      <rPr>
        <sz val="11"/>
        <color theme="1"/>
        <rFont val="Aptos Narrow"/>
        <family val="2"/>
      </rPr>
      <t xml:space="preserve">→ </t>
    </r>
    <r>
      <rPr>
        <sz val="11"/>
        <color theme="1"/>
        <rFont val="Aptos Narrow"/>
        <family val="2"/>
        <scheme val="minor"/>
      </rPr>
      <t>Embebido em alvenaria, utilizando tubagem de PVC rígida ou flexível.</t>
    </r>
  </si>
  <si>
    <t>→ O tubo protege o cabo contra danos mecânicos, umidade e facilita futuras manutenções.</t>
  </si>
  <si>
    <t>→ Instalação externa</t>
  </si>
  <si>
    <t>→ Podem ser embutidos diretamente na alvenaria ou piso externo sem a necessidade de conduíte adicional (exceto se houver alto risco de impacto).</t>
  </si>
  <si>
    <t>→ Resistentes à umidade e exposição a raios UV.</t>
  </si>
  <si>
    <t>Ambos possuem isolamento robusto e resistência a intempéries.</t>
  </si>
  <si>
    <t>Secções mínimas do condutores. Pag. 69</t>
  </si>
  <si>
    <t>Quedas de tensão máxima admissível. Pag. 70</t>
  </si>
  <si>
    <t>Secções mínimas convencionais dos condutores de terra. Pag. 78</t>
  </si>
  <si>
    <t>Símbolos utilizados nas designações de condutores e cabos, isolados, para instalações eléctricas, segundo o HD 361. Pag. 90/91</t>
  </si>
  <si>
    <t>Símbolos utilizados nas designações de condutores e cabos, isolados, para instalações eléctricas, segundo a NP 665. Pag. 91/92</t>
  </si>
  <si>
    <t>2 → QUADRO 52-C3 - Correntes admissíveis, em amperes, para os métodos de referência A, B e C (de acordo com o quadro 52H)</t>
  </si>
  <si>
    <t xml:space="preserve">Condutores isolados a policloreto de vinilo (PVC), para: </t>
  </si>
  <si>
    <t xml:space="preserve">• Cobre ou alumínio </t>
  </si>
  <si>
    <t xml:space="preserve">• Temperatura da alma condutora: 70°C </t>
  </si>
  <si>
    <t>• Temperatura ambiente: 30°C</t>
  </si>
  <si>
    <t xml:space="preserve">QUADRO 52-C30 </t>
  </si>
  <si>
    <t xml:space="preserve">Condutores isolados a polietileno reticulado (XLPE) ou etileno-propileno (EPR), para: </t>
  </si>
  <si>
    <t xml:space="preserve">Correntes admissíveis, em amperes, para o método de referência D (de acordo com o quadro 52H) </t>
  </si>
  <si>
    <t xml:space="preserve">• Dois condutores carregados </t>
  </si>
  <si>
    <t>Canalizações enterradas</t>
  </si>
  <si>
    <t>• Cobre ou alumínio</t>
  </si>
  <si>
    <t xml:space="preserve">• Temperatura da alma condutora: 90°C </t>
  </si>
  <si>
    <t>Disjuntores</t>
  </si>
  <si>
    <t>Fatores de correção</t>
  </si>
  <si>
    <t>Quadro -1A</t>
  </si>
  <si>
    <t>Piso -1</t>
  </si>
  <si>
    <t>Quadro -1B</t>
  </si>
  <si>
    <t>Quadro -1C</t>
  </si>
  <si>
    <t>Quadro 0A</t>
  </si>
  <si>
    <t>Piso 0</t>
  </si>
  <si>
    <t>Quadro 0B</t>
  </si>
  <si>
    <t>Quadro 1A</t>
  </si>
  <si>
    <t>Quadro 1B</t>
  </si>
  <si>
    <t>Trifásico c/ neutro</t>
  </si>
  <si>
    <t>Q. S. Comum</t>
  </si>
  <si>
    <t>Metodo usado</t>
  </si>
  <si>
    <t>Contador</t>
  </si>
  <si>
    <t>-</t>
  </si>
  <si>
    <t>S. Inst. (kVA)</t>
  </si>
  <si>
    <t>Calculo secção:</t>
  </si>
  <si>
    <t>Testes de correntes:</t>
  </si>
  <si>
    <t>S.Inst/U</t>
  </si>
  <si>
    <t>Metodo D</t>
  </si>
  <si>
    <r>
      <t>Ambiente externo</t>
    </r>
    <r>
      <rPr>
        <sz val="11"/>
        <color theme="1"/>
        <rFont val="Aptos Narrow"/>
        <family val="2"/>
        <scheme val="minor"/>
      </rPr>
      <t xml:space="preserve">: Máxima entre </t>
    </r>
    <r>
      <rPr>
        <b/>
        <sz val="11"/>
        <color theme="1"/>
        <rFont val="Aptos Narrow"/>
        <family val="2"/>
        <scheme val="minor"/>
      </rPr>
      <t>35°C</t>
    </r>
    <r>
      <rPr>
        <sz val="11"/>
        <color theme="1"/>
        <rFont val="Aptos Narrow"/>
        <family val="2"/>
        <scheme val="minor"/>
      </rPr>
      <t>. Usar cabos com isolamento resistente ao calor (</t>
    </r>
    <r>
      <rPr>
        <b/>
        <sz val="11"/>
        <color theme="1"/>
        <rFont val="Aptos Narrow"/>
        <family val="2"/>
        <scheme val="minor"/>
      </rPr>
      <t>EPR ou XLPE</t>
    </r>
    <r>
      <rPr>
        <sz val="11"/>
        <color theme="1"/>
        <rFont val="Aptos Narrow"/>
        <family val="2"/>
        <scheme val="minor"/>
      </rPr>
      <t>).</t>
    </r>
  </si>
  <si>
    <t>Metodo B</t>
  </si>
  <si>
    <t>Cabo</t>
  </si>
  <si>
    <t>Designação</t>
  </si>
  <si>
    <t xml:space="preserve">H07V-R </t>
  </si>
  <si>
    <t>H07V-U</t>
  </si>
  <si>
    <t>XV</t>
  </si>
  <si>
    <t>G</t>
  </si>
  <si>
    <t>x</t>
  </si>
  <si>
    <t>Materiais</t>
  </si>
  <si>
    <t>Alma</t>
  </si>
  <si>
    <t>Isol</t>
  </si>
  <si>
    <t>Cobre</t>
  </si>
  <si>
    <t>PVC</t>
  </si>
  <si>
    <t>XLPE</t>
  </si>
  <si>
    <t>(mm2)</t>
  </si>
  <si>
    <t>S</t>
  </si>
  <si>
    <t>Diferencial</t>
  </si>
  <si>
    <t>L</t>
  </si>
  <si>
    <t>Numeros de conduta 1 (vertical e horizontal)</t>
  </si>
  <si>
    <t>Fator de correcção quadro 52-D1, 52-E1 e 52-E3</t>
  </si>
  <si>
    <t>Fator de correcção quadro 52-D2, 52-E3</t>
  </si>
  <si>
    <t>Elevador</t>
  </si>
  <si>
    <t>Metodo C</t>
  </si>
  <si>
    <t>total:</t>
  </si>
  <si>
    <t>Fusivel</t>
  </si>
  <si>
    <t>Fator de correcção quadro 52-E1</t>
  </si>
  <si>
    <t>Quadro elétrico Geral</t>
  </si>
  <si>
    <t>DU</t>
  </si>
  <si>
    <t>(%)</t>
  </si>
  <si>
    <t>(A)</t>
  </si>
  <si>
    <t>(mA)</t>
  </si>
  <si>
    <t>(m)</t>
  </si>
  <si>
    <t xml:space="preserve">3º Queda de tensao: </t>
  </si>
  <si>
    <t>Outros quadros</t>
  </si>
  <si>
    <t xml:space="preserve">Circuitos de Distribuição Secundária </t>
  </si>
  <si>
    <t>trifasico</t>
  </si>
  <si>
    <t>η</t>
  </si>
  <si>
    <t>52-C30, 3 XLPE</t>
  </si>
  <si>
    <t>Tipo de Disjuntor</t>
  </si>
  <si>
    <t>Corrente Nominal (In)</t>
  </si>
  <si>
    <t>Capacidade de Interrupção (Icu)</t>
  </si>
  <si>
    <t>Aplicação</t>
  </si>
  <si>
    <t>Disjuntores Miniatura (MCB)</t>
  </si>
  <si>
    <t>6A, 10A, 16A, 20A, 32A, 40A, 63A</t>
  </si>
  <si>
    <t>4,5 kA, 6 kA, 10 kA</t>
  </si>
  <si>
    <t>Circuitos de iluminação, tomadas, pequenas cargas residenciais e comerciais.</t>
  </si>
  <si>
    <t>Disjuntores Moldados (MCCB)</t>
  </si>
  <si>
    <t>63A, 100A, 125A, 160A, 250A, 400A, 630A</t>
  </si>
  <si>
    <t>25 kA, 36 kA, 50 kA</t>
  </si>
  <si>
    <t>Proteção geral de quadros, circuitos principais em edifícios e indústrias.</t>
  </si>
  <si>
    <t>Disjuntores de Potência (ACB)</t>
  </si>
  <si>
    <t>630A a 6300A</t>
  </si>
  <si>
    <t>50 kA, 75 kA, 100 kA</t>
  </si>
  <si>
    <t>Instalações industriais e de grandes consumidores.</t>
  </si>
  <si>
    <t>Tabela Geral de Disjuntores de Baixa Tensão</t>
  </si>
  <si>
    <t>Corrente de motores</t>
  </si>
  <si>
    <t>secador toalhas</t>
  </si>
  <si>
    <t>esquentador</t>
  </si>
  <si>
    <r>
      <t>U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=</t>
    </r>
  </si>
  <si>
    <t xml:space="preserve"> Quadro de Apartamentos</t>
  </si>
  <si>
    <t>Sala Cond.</t>
  </si>
  <si>
    <t>A</t>
  </si>
  <si>
    <r>
      <t>P=S/</t>
    </r>
    <r>
      <rPr>
        <sz val="11"/>
        <color theme="1"/>
        <rFont val="Aptos Narrow"/>
        <family val="2"/>
      </rPr>
      <t>η</t>
    </r>
  </si>
  <si>
    <r>
      <t>I=P/(U*cos</t>
    </r>
    <r>
      <rPr>
        <sz val="11"/>
        <color theme="1"/>
        <rFont val="Aptos Narrow"/>
        <family val="2"/>
      </rPr>
      <t>φ)</t>
    </r>
  </si>
  <si>
    <t>W</t>
  </si>
  <si>
    <t>ρ1=</t>
  </si>
  <si>
    <t>Fator de correcção quadro 52-D1, 52-E1 e 52-E2, 52-E3</t>
  </si>
  <si>
    <t>Iluminação</t>
  </si>
  <si>
    <t>Tomadas uso geral</t>
  </si>
  <si>
    <t>Forno elétrico/Microondas</t>
  </si>
  <si>
    <t>H07V-R</t>
  </si>
  <si>
    <t>C50</t>
  </si>
  <si>
    <t>C32</t>
  </si>
  <si>
    <t>50A</t>
  </si>
  <si>
    <t>32A</t>
  </si>
  <si>
    <t>C100</t>
  </si>
  <si>
    <t>C32 a C40</t>
  </si>
  <si>
    <t>32A a 40A</t>
  </si>
  <si>
    <t>52-C3, 3 condutores</t>
  </si>
  <si>
    <t>52-C1, 2 condutores</t>
  </si>
  <si>
    <t>S=</t>
  </si>
  <si>
    <t>S.Inst*coef.simu</t>
  </si>
  <si>
    <t>Quadro Contador</t>
  </si>
  <si>
    <t>Quadro Elétrico de Serviço Comum</t>
  </si>
  <si>
    <t>C16</t>
  </si>
  <si>
    <t>16A</t>
  </si>
  <si>
    <r>
      <t xml:space="preserve">cos </t>
    </r>
    <r>
      <rPr>
        <b/>
        <sz val="11"/>
        <color theme="1"/>
        <rFont val="Aptos Narrow"/>
        <family val="2"/>
      </rPr>
      <t>φ</t>
    </r>
  </si>
  <si>
    <t>C10</t>
  </si>
  <si>
    <t>10A</t>
  </si>
  <si>
    <t>ΔU ≤</t>
  </si>
  <si>
    <t>para tomadas e iluminacao residenciais interno</t>
  </si>
  <si>
    <t>Tomadas Suite</t>
  </si>
  <si>
    <t>Tomadas Sala</t>
  </si>
  <si>
    <t>Tomadas Quarto</t>
  </si>
  <si>
    <t>Circuito Tomadas gerais</t>
  </si>
  <si>
    <t>Circuito IIuminação</t>
  </si>
  <si>
    <t>Iluminação Quarto</t>
  </si>
  <si>
    <t>Iluminação Suite</t>
  </si>
  <si>
    <t>Iluminação Sala/Cozinha</t>
  </si>
  <si>
    <t>Localização</t>
  </si>
  <si>
    <t>100 A</t>
  </si>
  <si>
    <t>52-C1, 3 XLPe</t>
  </si>
  <si>
    <t>B10</t>
  </si>
  <si>
    <t>B11</t>
  </si>
  <si>
    <t>B12</t>
  </si>
  <si>
    <t>Diametro de tubulação</t>
  </si>
  <si>
    <t>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</si>
</sst>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58595B"/>
      <name val="Arial"/>
      <family val="2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1"/>
      <charset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 Nova Cond"/>
      <family val="2"/>
    </font>
    <font>
      <b/>
      <sz val="12"/>
      <color theme="1"/>
      <name val="Arial Nova Cond"/>
      <family val="2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10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0" fillId="0" borderId="0" xfId="0" applyFont="1"/>
    <xf numFmtId="0" fontId="5" fillId="0" borderId="0" xfId="0" applyFont="1"/>
    <xf numFmtId="0" fontId="1" fillId="0" borderId="0" xfId="0" applyFo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Alignment="1">
      <alignment horizontal="left"/>
    </xf>
    <xf numFmtId="10" fontId="0" fillId="0" borderId="0" xfId="0" applyNumberFormat="1" applyAlignment="1">
      <alignment horizontal="center"/>
    </xf>
    <xf numFmtId="2" fontId="8" fillId="0" borderId="12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0" borderId="19" xfId="0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8" fillId="0" borderId="19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3" fillId="0" borderId="0" xfId="0" applyFont="1"/>
    <xf numFmtId="1" fontId="0" fillId="0" borderId="1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4" xfId="0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4" fillId="0" borderId="0" xfId="0" applyFont="1"/>
    <xf numFmtId="0" fontId="15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vertical="center" wrapText="1"/>
    </xf>
    <xf numFmtId="0" fontId="14" fillId="0" borderId="18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166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16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0" xfId="0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2" fontId="0" fillId="0" borderId="51" xfId="0" applyNumberFormat="1" applyBorder="1" applyAlignment="1">
      <alignment horizontal="center"/>
    </xf>
    <xf numFmtId="2" fontId="7" fillId="0" borderId="51" xfId="0" applyNumberFormat="1" applyFont="1" applyBorder="1" applyAlignment="1">
      <alignment horizontal="center"/>
    </xf>
    <xf numFmtId="0" fontId="0" fillId="0" borderId="51" xfId="0" applyBorder="1" applyAlignment="1">
      <alignment horizontal="center"/>
    </xf>
    <xf numFmtId="2" fontId="0" fillId="0" borderId="52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/>
    </xf>
    <xf numFmtId="2" fontId="0" fillId="0" borderId="52" xfId="0" applyNumberFormat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7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2" fontId="0" fillId="0" borderId="60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65" fontId="0" fillId="0" borderId="60" xfId="0" applyNumberFormat="1" applyBorder="1" applyAlignment="1">
      <alignment horizontal="center"/>
    </xf>
    <xf numFmtId="164" fontId="0" fillId="0" borderId="60" xfId="0" applyNumberFormat="1" applyBorder="1" applyAlignment="1">
      <alignment horizontal="center"/>
    </xf>
    <xf numFmtId="0" fontId="0" fillId="0" borderId="61" xfId="0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33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2" fillId="0" borderId="15" xfId="0" applyNumberFormat="1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2" fontId="1" fillId="0" borderId="36" xfId="0" applyNumberFormat="1" applyFont="1" applyBorder="1" applyAlignment="1">
      <alignment horizontal="center"/>
    </xf>
    <xf numFmtId="2" fontId="1" fillId="0" borderId="53" xfId="0" applyNumberFormat="1" applyFont="1" applyBorder="1" applyAlignment="1">
      <alignment horizontal="center"/>
    </xf>
    <xf numFmtId="2" fontId="1" fillId="0" borderId="37" xfId="0" applyNumberFormat="1" applyFont="1" applyBorder="1" applyAlignment="1">
      <alignment horizontal="center"/>
    </xf>
    <xf numFmtId="2" fontId="1" fillId="0" borderId="42" xfId="0" applyNumberFormat="1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2" fillId="0" borderId="0" xfId="0" applyFont="1"/>
    <xf numFmtId="2" fontId="1" fillId="0" borderId="0" xfId="0" applyNumberFormat="1" applyFont="1"/>
    <xf numFmtId="0" fontId="1" fillId="0" borderId="3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8" fillId="0" borderId="2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44" xfId="0" applyNumberFormat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2" fontId="0" fillId="0" borderId="27" xfId="0" applyNumberFormat="1" applyBorder="1" applyAlignment="1">
      <alignment horizontal="center" vertical="center"/>
    </xf>
    <xf numFmtId="0" fontId="0" fillId="0" borderId="63" xfId="0" applyBorder="1" applyAlignment="1">
      <alignment horizontal="left"/>
    </xf>
    <xf numFmtId="2" fontId="0" fillId="0" borderId="4" xfId="0" applyNumberFormat="1" applyBorder="1" applyAlignment="1">
      <alignment horizontal="center" vertical="center"/>
    </xf>
    <xf numFmtId="0" fontId="0" fillId="0" borderId="64" xfId="0" applyBorder="1" applyAlignment="1">
      <alignment horizontal="left"/>
    </xf>
    <xf numFmtId="166" fontId="0" fillId="0" borderId="3" xfId="0" applyNumberFormat="1" applyBorder="1" applyAlignment="1">
      <alignment horizontal="center"/>
    </xf>
    <xf numFmtId="0" fontId="1" fillId="0" borderId="53" xfId="0" applyFont="1" applyBorder="1" applyAlignment="1">
      <alignment horizontal="center"/>
    </xf>
    <xf numFmtId="2" fontId="1" fillId="0" borderId="60" xfId="0" applyNumberFormat="1" applyFont="1" applyBorder="1"/>
    <xf numFmtId="0" fontId="1" fillId="0" borderId="23" xfId="0" applyFont="1" applyBorder="1"/>
    <xf numFmtId="0" fontId="0" fillId="0" borderId="57" xfId="0" applyBorder="1"/>
    <xf numFmtId="0" fontId="0" fillId="0" borderId="59" xfId="0" applyBorder="1"/>
    <xf numFmtId="0" fontId="0" fillId="0" borderId="60" xfId="0" applyBorder="1"/>
    <xf numFmtId="1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65" xfId="0" applyFont="1" applyBorder="1"/>
    <xf numFmtId="2" fontId="0" fillId="0" borderId="0" xfId="0" applyNumberFormat="1"/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2" fontId="0" fillId="0" borderId="66" xfId="0" applyNumberFormat="1" applyBorder="1" applyAlignment="1">
      <alignment horizontal="center"/>
    </xf>
    <xf numFmtId="2" fontId="0" fillId="0" borderId="68" xfId="0" applyNumberFormat="1" applyBorder="1" applyAlignment="1">
      <alignment horizontal="center"/>
    </xf>
    <xf numFmtId="2" fontId="0" fillId="0" borderId="65" xfId="0" applyNumberFormat="1" applyBorder="1" applyAlignment="1">
      <alignment horizontal="center"/>
    </xf>
    <xf numFmtId="0" fontId="0" fillId="0" borderId="65" xfId="0" applyBorder="1" applyAlignment="1">
      <alignment horizontal="left"/>
    </xf>
    <xf numFmtId="1" fontId="0" fillId="0" borderId="69" xfId="0" applyNumberFormat="1" applyBorder="1" applyAlignment="1">
      <alignment horizontal="center"/>
    </xf>
    <xf numFmtId="2" fontId="0" fillId="0" borderId="67" xfId="0" applyNumberFormat="1" applyBorder="1" applyAlignment="1">
      <alignment horizontal="center"/>
    </xf>
    <xf numFmtId="166" fontId="0" fillId="0" borderId="67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2" fontId="0" fillId="0" borderId="70" xfId="0" applyNumberFormat="1" applyBorder="1" applyAlignment="1">
      <alignment horizontal="center"/>
    </xf>
    <xf numFmtId="166" fontId="0" fillId="0" borderId="46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2" fontId="0" fillId="0" borderId="57" xfId="0" applyNumberFormat="1" applyBorder="1" applyAlignment="1">
      <alignment horizontal="center"/>
    </xf>
    <xf numFmtId="2" fontId="0" fillId="0" borderId="59" xfId="0" applyNumberForma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0" fillId="0" borderId="71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3" xfId="0" applyFont="1" applyBorder="1" applyAlignment="1">
      <alignment horizontal="center" vertical="center" textRotation="90"/>
    </xf>
    <xf numFmtId="0" fontId="1" fillId="0" borderId="40" xfId="0" applyFont="1" applyBorder="1" applyAlignment="1">
      <alignment horizontal="center" vertical="center" textRotation="90"/>
    </xf>
    <xf numFmtId="0" fontId="1" fillId="0" borderId="41" xfId="0" applyFont="1" applyBorder="1" applyAlignment="1">
      <alignment horizontal="center" vertical="center" textRotation="90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2" fontId="1" fillId="0" borderId="25" xfId="0" applyNumberFormat="1" applyFont="1" applyBorder="1" applyAlignment="1">
      <alignment horizontal="center" vertical="center"/>
    </xf>
    <xf numFmtId="2" fontId="1" fillId="0" borderId="38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6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441960</xdr:colOff>
      <xdr:row>8</xdr:row>
      <xdr:rowOff>137160</xdr:rowOff>
    </xdr:from>
    <xdr:to>
      <xdr:col>6</xdr:col>
      <xdr:colOff>68580</xdr:colOff>
      <xdr:row>15</xdr:row>
      <xdr:rowOff>58294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C9F61D-2483-4A9C-8BD9-CB5D6801F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" y="1775460"/>
          <a:ext cx="4099560" cy="1201294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</xdr:colOff>
      <xdr:row>26</xdr:row>
      <xdr:rowOff>114306</xdr:rowOff>
    </xdr:from>
    <xdr:to>
      <xdr:col>7</xdr:col>
      <xdr:colOff>198119</xdr:colOff>
      <xdr:row>40</xdr:row>
      <xdr:rowOff>175590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106156-180C-4AC8-BC46-9DB5331B3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8340" y="5044446"/>
          <a:ext cx="4267199" cy="2621604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</xdr:colOff>
      <xdr:row>44</xdr:row>
      <xdr:rowOff>22860</xdr:rowOff>
    </xdr:from>
    <xdr:to>
      <xdr:col>8</xdr:col>
      <xdr:colOff>229581</xdr:colOff>
      <xdr:row>54</xdr:row>
      <xdr:rowOff>67045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46845A3-6292-43B4-AF7C-5D92AD577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5960" y="8244840"/>
          <a:ext cx="4900641" cy="1872985"/>
        </a:xfrm>
        <a:prstGeom prst="rect">
          <a:avLst/>
        </a:prstGeom>
      </xdr:spPr>
    </xdr:pic>
    <xdr:clientData/>
  </xdr:twoCellAnchor>
  <xdr:twoCellAnchor editAs="oneCell">
    <xdr:from>
      <xdr:col>3</xdr:col>
      <xdr:colOff>289560</xdr:colOff>
      <xdr:row>58</xdr:row>
      <xdr:rowOff>22860</xdr:rowOff>
    </xdr:from>
    <xdr:to>
      <xdr:col>8</xdr:col>
      <xdr:colOff>235897</xdr:colOff>
      <xdr:row>66</xdr:row>
      <xdr:rowOff>38371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D48D05A-03C4-4EBB-B208-06DF171C5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8360" y="10805160"/>
          <a:ext cx="4754557" cy="1478551"/>
        </a:xfrm>
        <a:prstGeom prst="rect">
          <a:avLst/>
        </a:prstGeom>
      </xdr:spPr>
    </xdr:pic>
    <xdr:clientData/>
  </xdr:twoCellAnchor>
  <xdr:twoCellAnchor editAs="oneCell">
    <xdr:from>
      <xdr:col>2</xdr:col>
      <xdr:colOff>373380</xdr:colOff>
      <xdr:row>68</xdr:row>
      <xdr:rowOff>137161</xdr:rowOff>
    </xdr:from>
    <xdr:to>
      <xdr:col>8</xdr:col>
      <xdr:colOff>294051</xdr:colOff>
      <xdr:row>75</xdr:row>
      <xdr:rowOff>129541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FBC270F-1D65-4FBC-ACA1-475F3A85C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580" y="12748261"/>
          <a:ext cx="5612811" cy="1272540"/>
        </a:xfrm>
        <a:prstGeom prst="rect">
          <a:avLst/>
        </a:prstGeom>
      </xdr:spPr>
    </xdr:pic>
    <xdr:clientData/>
  </xdr:twoCellAnchor>
  <xdr:twoCellAnchor editAs="oneCell">
    <xdr:from>
      <xdr:col>2</xdr:col>
      <xdr:colOff>477660</xdr:colOff>
      <xdr:row>75</xdr:row>
      <xdr:rowOff>91440</xdr:rowOff>
    </xdr:from>
    <xdr:to>
      <xdr:col>8</xdr:col>
      <xdr:colOff>367816</xdr:colOff>
      <xdr:row>113</xdr:row>
      <xdr:rowOff>36748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C60ACBB-936A-4500-9173-794269BE4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6860" y="13982700"/>
          <a:ext cx="5582296" cy="6894748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115</xdr:row>
      <xdr:rowOff>99060</xdr:rowOff>
    </xdr:from>
    <xdr:to>
      <xdr:col>7</xdr:col>
      <xdr:colOff>507001</xdr:colOff>
      <xdr:row>123</xdr:row>
      <xdr:rowOff>77608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4F640FA-4834-4E4A-B45D-99028A33D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880" y="21305520"/>
          <a:ext cx="5482861" cy="1441588"/>
        </a:xfrm>
        <a:prstGeom prst="rect">
          <a:avLst/>
        </a:prstGeom>
      </xdr:spPr>
    </xdr:pic>
    <xdr:clientData/>
  </xdr:twoCellAnchor>
  <xdr:twoCellAnchor editAs="oneCell">
    <xdr:from>
      <xdr:col>1</xdr:col>
      <xdr:colOff>431941</xdr:colOff>
      <xdr:row>123</xdr:row>
      <xdr:rowOff>66725</xdr:rowOff>
    </xdr:from>
    <xdr:to>
      <xdr:col>7</xdr:col>
      <xdr:colOff>563881</xdr:colOff>
      <xdr:row>158</xdr:row>
      <xdr:rowOff>15789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8D5F440-654F-4697-A972-50EDCE505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541" y="22736225"/>
          <a:ext cx="5824080" cy="6349864"/>
        </a:xfrm>
        <a:prstGeom prst="rect">
          <a:avLst/>
        </a:prstGeom>
      </xdr:spPr>
    </xdr:pic>
    <xdr:clientData/>
  </xdr:twoCellAnchor>
  <xdr:twoCellAnchor editAs="oneCell">
    <xdr:from>
      <xdr:col>6</xdr:col>
      <xdr:colOff>556261</xdr:colOff>
      <xdr:row>254</xdr:row>
      <xdr:rowOff>11834</xdr:rowOff>
    </xdr:from>
    <xdr:to>
      <xdr:col>13</xdr:col>
      <xdr:colOff>99061</xdr:colOff>
      <xdr:row>260</xdr:row>
      <xdr:rowOff>42619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7A60A22-E83D-459A-A7EE-AA003ACC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1" y="46653854"/>
          <a:ext cx="4594860" cy="3635045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579121</xdr:colOff>
      <xdr:row>167</xdr:row>
      <xdr:rowOff>22860</xdr:rowOff>
    </xdr:from>
    <xdr:to>
      <xdr:col>5</xdr:col>
      <xdr:colOff>1198007</xdr:colOff>
      <xdr:row>202</xdr:row>
      <xdr:rowOff>35287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8938210F-3A52-4331-9774-19286EEB1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121" y="30739080"/>
          <a:ext cx="4634626" cy="6413227"/>
        </a:xfrm>
        <a:prstGeom prst="rect">
          <a:avLst/>
        </a:prstGeom>
      </xdr:spPr>
    </xdr:pic>
    <xdr:clientData/>
  </xdr:twoCellAnchor>
  <xdr:twoCellAnchor editAs="oneCell">
    <xdr:from>
      <xdr:col>1</xdr:col>
      <xdr:colOff>601980</xdr:colOff>
      <xdr:row>211</xdr:row>
      <xdr:rowOff>129540</xdr:rowOff>
    </xdr:from>
    <xdr:to>
      <xdr:col>7</xdr:col>
      <xdr:colOff>82637</xdr:colOff>
      <xdr:row>248</xdr:row>
      <xdr:rowOff>59990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3A1EFB9C-28D2-4794-AF3B-5E0D53AC5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80" y="38892480"/>
          <a:ext cx="5172797" cy="66970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263</xdr:row>
      <xdr:rowOff>38100</xdr:rowOff>
    </xdr:from>
    <xdr:to>
      <xdr:col>5</xdr:col>
      <xdr:colOff>814162</xdr:colOff>
      <xdr:row>278</xdr:row>
      <xdr:rowOff>76200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A9A725CF-909C-4B3A-B3E0-6CB97723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51252120"/>
          <a:ext cx="3610702" cy="27813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279</xdr:row>
      <xdr:rowOff>1579</xdr:rowOff>
    </xdr:from>
    <xdr:to>
      <xdr:col>6</xdr:col>
      <xdr:colOff>530014</xdr:colOff>
      <xdr:row>295</xdr:row>
      <xdr:rowOff>14175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7E80E7C2-1863-4F66-AA7F-A327967FA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54141679"/>
          <a:ext cx="4964854" cy="293867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571500</xdr:colOff>
      <xdr:row>262</xdr:row>
      <xdr:rowOff>104500</xdr:rowOff>
    </xdr:from>
    <xdr:to>
      <xdr:col>13</xdr:col>
      <xdr:colOff>251459</xdr:colOff>
      <xdr:row>278</xdr:row>
      <xdr:rowOff>179613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2DA0F17C-164C-4A36-9328-C424434F8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51135640"/>
          <a:ext cx="3512819" cy="3001193"/>
        </a:xfrm>
        <a:prstGeom prst="rect">
          <a:avLst/>
        </a:prstGeom>
      </xdr:spPr>
    </xdr:pic>
    <xdr:clientData/>
  </xdr:twoCellAnchor>
  <xdr:twoCellAnchor editAs="oneCell">
    <xdr:from>
      <xdr:col>21</xdr:col>
      <xdr:colOff>589683</xdr:colOff>
      <xdr:row>172</xdr:row>
      <xdr:rowOff>15239</xdr:rowOff>
    </xdr:from>
    <xdr:to>
      <xdr:col>30</xdr:col>
      <xdr:colOff>487748</xdr:colOff>
      <xdr:row>203</xdr:row>
      <xdr:rowOff>19468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EDEC1D8B-1B6C-EE43-B514-62360B8F0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46373" y="31826549"/>
          <a:ext cx="5415996" cy="5706091"/>
        </a:xfrm>
        <a:prstGeom prst="rect">
          <a:avLst/>
        </a:prstGeom>
      </xdr:spPr>
    </xdr:pic>
    <xdr:clientData/>
  </xdr:twoCellAnchor>
  <xdr:twoCellAnchor editAs="oneCell">
    <xdr:from>
      <xdr:col>21</xdr:col>
      <xdr:colOff>205740</xdr:colOff>
      <xdr:row>160</xdr:row>
      <xdr:rowOff>130679</xdr:rowOff>
    </xdr:from>
    <xdr:to>
      <xdr:col>30</xdr:col>
      <xdr:colOff>573450</xdr:colOff>
      <xdr:row>175</xdr:row>
      <xdr:rowOff>102547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653B4BC-705B-F180-B115-8F3BBF38F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62430" y="29734817"/>
          <a:ext cx="5885641" cy="2730833"/>
        </a:xfrm>
        <a:prstGeom prst="rect">
          <a:avLst/>
        </a:prstGeom>
      </xdr:spPr>
    </xdr:pic>
    <xdr:clientData/>
  </xdr:twoCellAnchor>
  <xdr:twoCellAnchor editAs="oneCell">
    <xdr:from>
      <xdr:col>6</xdr:col>
      <xdr:colOff>302400</xdr:colOff>
      <xdr:row>170</xdr:row>
      <xdr:rowOff>137160</xdr:rowOff>
    </xdr:from>
    <xdr:to>
      <xdr:col>13</xdr:col>
      <xdr:colOff>249397</xdr:colOff>
      <xdr:row>203</xdr:row>
      <xdr:rowOff>118613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648FD375-920A-5653-BBE2-B683F2847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4540" y="31402020"/>
          <a:ext cx="4999057" cy="6016493"/>
        </a:xfrm>
        <a:prstGeom prst="rect">
          <a:avLst/>
        </a:prstGeom>
      </xdr:spPr>
    </xdr:pic>
    <xdr:clientData/>
  </xdr:twoCellAnchor>
  <xdr:twoCellAnchor editAs="oneCell">
    <xdr:from>
      <xdr:col>5</xdr:col>
      <xdr:colOff>1440180</xdr:colOff>
      <xdr:row>161</xdr:row>
      <xdr:rowOff>152401</xdr:rowOff>
    </xdr:from>
    <xdr:to>
      <xdr:col>12</xdr:col>
      <xdr:colOff>853440</xdr:colOff>
      <xdr:row>174</xdr:row>
      <xdr:rowOff>22861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EFFD453A-2654-DA41-0D80-475818FAC7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8" r="14884"/>
        <a:stretch/>
      </xdr:blipFill>
      <xdr:spPr>
        <a:xfrm>
          <a:off x="5455920" y="29771341"/>
          <a:ext cx="5143500" cy="224790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298</xdr:row>
      <xdr:rowOff>76200</xdr:rowOff>
    </xdr:from>
    <xdr:to>
      <xdr:col>9</xdr:col>
      <xdr:colOff>387713</xdr:colOff>
      <xdr:row>310</xdr:row>
      <xdr:rowOff>44117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FEC570C0-7AFA-B31E-9516-0EF345B3A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" y="57271920"/>
          <a:ext cx="7154273" cy="2162477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533401</xdr:colOff>
      <xdr:row>161</xdr:row>
      <xdr:rowOff>15241</xdr:rowOff>
    </xdr:from>
    <xdr:to>
      <xdr:col>20</xdr:col>
      <xdr:colOff>304800</xdr:colOff>
      <xdr:row>167</xdr:row>
      <xdr:rowOff>84533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487391F7-0948-AB17-BCDF-F8E670DFB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01" y="29634181"/>
          <a:ext cx="5333999" cy="1166572"/>
        </a:xfrm>
        <a:prstGeom prst="rect">
          <a:avLst/>
        </a:prstGeom>
      </xdr:spPr>
    </xdr:pic>
    <xdr:clientData/>
  </xdr:twoCellAnchor>
  <xdr:twoCellAnchor editAs="oneCell">
    <xdr:from>
      <xdr:col>13</xdr:col>
      <xdr:colOff>622440</xdr:colOff>
      <xdr:row>166</xdr:row>
      <xdr:rowOff>175260</xdr:rowOff>
    </xdr:from>
    <xdr:to>
      <xdr:col>20</xdr:col>
      <xdr:colOff>463190</xdr:colOff>
      <xdr:row>200</xdr:row>
      <xdr:rowOff>8057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6CFEB18B-A5E3-F6D5-14D5-6F7266198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640" y="30708600"/>
          <a:ext cx="5403350" cy="6050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BA26-AC5B-460C-B6E5-B6FFC4F2135A}">
  <dimension ref="B3:O298"/>
  <sheetViews>
    <sheetView topLeftCell="A249" zoomScaleNormal="100" workbookViewId="0">
      <selection activeCell="V181" sqref="V181"/>
    </sheetView>
  </sheetViews>
  <sheetFormatPr defaultRowHeight="14.4" x14ac:dyDescent="0.3"/>
  <cols>
    <col min="3" max="3" width="12.88671875" customWidth="1"/>
    <col min="4" max="4" width="11.6640625" customWidth="1"/>
    <col min="5" max="5" width="16.21875" customWidth="1"/>
    <col min="6" max="6" width="24.44140625" customWidth="1"/>
    <col min="12" max="12" width="14.6640625" customWidth="1"/>
    <col min="13" max="13" width="14.5546875" customWidth="1"/>
    <col min="14" max="14" width="14.6640625" customWidth="1"/>
    <col min="15" max="15" width="22" customWidth="1"/>
  </cols>
  <sheetData>
    <row r="3" spans="2:2" ht="25.8" x14ac:dyDescent="0.5">
      <c r="B3" s="22" t="s">
        <v>89</v>
      </c>
    </row>
    <row r="5" spans="2:2" ht="15.6" x14ac:dyDescent="0.3">
      <c r="B5" s="23" t="s">
        <v>90</v>
      </c>
    </row>
    <row r="6" spans="2:2" ht="15.6" x14ac:dyDescent="0.3">
      <c r="B6" s="23"/>
    </row>
    <row r="7" spans="2:2" x14ac:dyDescent="0.3">
      <c r="B7" t="s">
        <v>91</v>
      </c>
    </row>
    <row r="8" spans="2:2" x14ac:dyDescent="0.3">
      <c r="B8" t="s">
        <v>92</v>
      </c>
    </row>
    <row r="17" spans="2:4" x14ac:dyDescent="0.3">
      <c r="C17" s="24" t="s">
        <v>93</v>
      </c>
    </row>
    <row r="18" spans="2:4" x14ac:dyDescent="0.3">
      <c r="D18" s="9" t="s">
        <v>94</v>
      </c>
    </row>
    <row r="19" spans="2:4" x14ac:dyDescent="0.3">
      <c r="D19" s="9" t="s">
        <v>95</v>
      </c>
    </row>
    <row r="20" spans="2:4" x14ac:dyDescent="0.3">
      <c r="C20" s="24" t="s">
        <v>96</v>
      </c>
    </row>
    <row r="21" spans="2:4" x14ac:dyDescent="0.3">
      <c r="D21" t="s">
        <v>97</v>
      </c>
    </row>
    <row r="22" spans="2:4" x14ac:dyDescent="0.3">
      <c r="D22" t="s">
        <v>98</v>
      </c>
    </row>
    <row r="24" spans="2:4" x14ac:dyDescent="0.3">
      <c r="B24" t="s">
        <v>99</v>
      </c>
    </row>
    <row r="26" spans="2:4" x14ac:dyDescent="0.3">
      <c r="B26" s="24" t="s">
        <v>100</v>
      </c>
    </row>
    <row r="43" spans="2:2" x14ac:dyDescent="0.3">
      <c r="B43" s="24" t="s">
        <v>101</v>
      </c>
    </row>
    <row r="57" spans="2:2" x14ac:dyDescent="0.3">
      <c r="B57" s="24" t="s">
        <v>102</v>
      </c>
    </row>
    <row r="68" spans="2:2" x14ac:dyDescent="0.3">
      <c r="B68" s="24" t="s">
        <v>103</v>
      </c>
    </row>
    <row r="115" spans="2:2" x14ac:dyDescent="0.3">
      <c r="B115" s="24" t="s">
        <v>104</v>
      </c>
    </row>
    <row r="161" spans="2:3" x14ac:dyDescent="0.3">
      <c r="B161" s="24" t="s">
        <v>105</v>
      </c>
    </row>
    <row r="163" spans="2:3" x14ac:dyDescent="0.3">
      <c r="B163" t="s">
        <v>106</v>
      </c>
    </row>
    <row r="164" spans="2:3" x14ac:dyDescent="0.3">
      <c r="C164" t="s">
        <v>113</v>
      </c>
    </row>
    <row r="165" spans="2:3" x14ac:dyDescent="0.3">
      <c r="C165" t="s">
        <v>107</v>
      </c>
    </row>
    <row r="166" spans="2:3" x14ac:dyDescent="0.3">
      <c r="C166" t="s">
        <v>108</v>
      </c>
    </row>
    <row r="167" spans="2:3" x14ac:dyDescent="0.3">
      <c r="C167" t="s">
        <v>109</v>
      </c>
    </row>
    <row r="209" spans="2:15" x14ac:dyDescent="0.3">
      <c r="B209" t="s">
        <v>110</v>
      </c>
      <c r="N209" t="s">
        <v>111</v>
      </c>
    </row>
    <row r="210" spans="2:15" x14ac:dyDescent="0.3">
      <c r="C210" t="s">
        <v>112</v>
      </c>
      <c r="O210" t="s">
        <v>113</v>
      </c>
    </row>
    <row r="211" spans="2:15" x14ac:dyDescent="0.3">
      <c r="C211" t="s">
        <v>114</v>
      </c>
      <c r="O211" t="s">
        <v>115</v>
      </c>
    </row>
    <row r="212" spans="2:15" x14ac:dyDescent="0.3">
      <c r="O212" t="s">
        <v>116</v>
      </c>
    </row>
    <row r="213" spans="2:15" x14ac:dyDescent="0.3">
      <c r="O213" t="s">
        <v>109</v>
      </c>
    </row>
    <row r="252" spans="2:6" ht="15.6" x14ac:dyDescent="0.3">
      <c r="B252" s="23" t="s">
        <v>117</v>
      </c>
    </row>
    <row r="255" spans="2:6" ht="16.2" thickBot="1" x14ac:dyDescent="0.35">
      <c r="C255" s="78" t="s">
        <v>193</v>
      </c>
    </row>
    <row r="256" spans="2:6" ht="49.8" customHeight="1" thickBot="1" x14ac:dyDescent="0.35">
      <c r="C256" s="75" t="s">
        <v>177</v>
      </c>
      <c r="D256" s="75" t="s">
        <v>178</v>
      </c>
      <c r="E256" s="75" t="s">
        <v>179</v>
      </c>
      <c r="F256" s="75" t="s">
        <v>180</v>
      </c>
    </row>
    <row r="257" spans="2:6" ht="71.400000000000006" customHeight="1" thickBot="1" x14ac:dyDescent="0.35">
      <c r="C257" s="76" t="s">
        <v>181</v>
      </c>
      <c r="D257" s="77" t="s">
        <v>182</v>
      </c>
      <c r="E257" s="77" t="s">
        <v>183</v>
      </c>
      <c r="F257" s="77" t="s">
        <v>184</v>
      </c>
    </row>
    <row r="258" spans="2:6" ht="73.2" customHeight="1" thickBot="1" x14ac:dyDescent="0.35">
      <c r="C258" s="76" t="s">
        <v>185</v>
      </c>
      <c r="D258" s="77" t="s">
        <v>186</v>
      </c>
      <c r="E258" s="77" t="s">
        <v>187</v>
      </c>
      <c r="F258" s="77" t="s">
        <v>188</v>
      </c>
    </row>
    <row r="259" spans="2:6" ht="58.8" customHeight="1" thickBot="1" x14ac:dyDescent="0.35">
      <c r="C259" s="76" t="s">
        <v>189</v>
      </c>
      <c r="D259" s="77" t="s">
        <v>190</v>
      </c>
      <c r="E259" s="77" t="s">
        <v>191</v>
      </c>
      <c r="F259" s="77" t="s">
        <v>192</v>
      </c>
    </row>
    <row r="262" spans="2:6" x14ac:dyDescent="0.3">
      <c r="B262" t="s">
        <v>118</v>
      </c>
    </row>
    <row r="298" spans="2:2" x14ac:dyDescent="0.3">
      <c r="B298" t="s">
        <v>194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FCED-FA67-45B0-AFFF-B7C1B004048A}">
  <dimension ref="B4:I47"/>
  <sheetViews>
    <sheetView workbookViewId="0">
      <selection activeCell="K31" sqref="K31"/>
    </sheetView>
  </sheetViews>
  <sheetFormatPr defaultRowHeight="14.4" x14ac:dyDescent="0.3"/>
  <sheetData>
    <row r="4" spans="2:9" ht="21" x14ac:dyDescent="0.4">
      <c r="B4" s="1" t="s">
        <v>0</v>
      </c>
    </row>
    <row r="6" spans="2:9" x14ac:dyDescent="0.3">
      <c r="B6" s="2" t="s">
        <v>1</v>
      </c>
      <c r="C6" s="3"/>
      <c r="F6" s="4" t="s">
        <v>2</v>
      </c>
    </row>
    <row r="7" spans="2:9" x14ac:dyDescent="0.3">
      <c r="B7" s="3"/>
      <c r="C7" s="3"/>
      <c r="D7" s="5"/>
      <c r="F7" s="3" t="s">
        <v>4</v>
      </c>
      <c r="H7" s="5">
        <f>2.5</f>
        <v>2.5</v>
      </c>
      <c r="I7" t="s">
        <v>3</v>
      </c>
    </row>
    <row r="8" spans="2:9" x14ac:dyDescent="0.3">
      <c r="B8" s="3" t="s">
        <v>5</v>
      </c>
      <c r="C8" s="3"/>
      <c r="D8" s="5">
        <f>0.14</f>
        <v>0.14000000000000001</v>
      </c>
      <c r="E8" t="s">
        <v>3</v>
      </c>
      <c r="F8" s="3" t="s">
        <v>6</v>
      </c>
      <c r="H8" s="5">
        <f>2.5</f>
        <v>2.5</v>
      </c>
      <c r="I8" t="s">
        <v>3</v>
      </c>
    </row>
    <row r="9" spans="2:9" x14ac:dyDescent="0.3">
      <c r="B9" s="3" t="s">
        <v>7</v>
      </c>
      <c r="C9" s="3"/>
      <c r="D9" s="5">
        <f>0.08</f>
        <v>0.08</v>
      </c>
      <c r="E9" t="s">
        <v>3</v>
      </c>
      <c r="F9" s="3" t="s">
        <v>8</v>
      </c>
      <c r="H9" s="5">
        <f>2</f>
        <v>2</v>
      </c>
      <c r="I9" t="s">
        <v>3</v>
      </c>
    </row>
    <row r="10" spans="2:9" x14ac:dyDescent="0.3">
      <c r="B10" s="3" t="s">
        <v>9</v>
      </c>
      <c r="C10" s="3"/>
      <c r="D10" s="5">
        <f>1.35</f>
        <v>1.35</v>
      </c>
      <c r="E10" t="s">
        <v>3</v>
      </c>
      <c r="F10" s="3" t="s">
        <v>10</v>
      </c>
      <c r="H10" s="5">
        <f>3</f>
        <v>3</v>
      </c>
      <c r="I10" t="s">
        <v>3</v>
      </c>
    </row>
    <row r="11" spans="2:9" x14ac:dyDescent="0.3">
      <c r="B11" s="3" t="s">
        <v>11</v>
      </c>
      <c r="C11" s="3"/>
      <c r="D11" s="5">
        <v>2</v>
      </c>
      <c r="E11" t="s">
        <v>3</v>
      </c>
      <c r="F11" s="3"/>
      <c r="G11" s="6"/>
      <c r="H11" s="7"/>
      <c r="I11" s="7"/>
    </row>
    <row r="12" spans="2:9" x14ac:dyDescent="0.3">
      <c r="B12" s="3" t="s">
        <v>12</v>
      </c>
      <c r="C12" s="3"/>
      <c r="D12" s="5">
        <f>0.938</f>
        <v>0.93799999999999994</v>
      </c>
      <c r="E12" t="s">
        <v>3</v>
      </c>
      <c r="F12" s="4" t="s">
        <v>13</v>
      </c>
      <c r="G12" s="7"/>
      <c r="H12" s="7"/>
      <c r="I12" s="7"/>
    </row>
    <row r="13" spans="2:9" x14ac:dyDescent="0.3">
      <c r="B13" s="3" t="s">
        <v>14</v>
      </c>
      <c r="C13" s="3"/>
      <c r="D13" s="5">
        <f>0.25</f>
        <v>0.25</v>
      </c>
      <c r="E13" t="s">
        <v>3</v>
      </c>
      <c r="F13" s="3" t="s">
        <v>15</v>
      </c>
      <c r="H13" s="5">
        <f>0.006</f>
        <v>6.0000000000000001E-3</v>
      </c>
      <c r="I13" t="s">
        <v>3</v>
      </c>
    </row>
    <row r="14" spans="2:9" x14ac:dyDescent="0.3">
      <c r="B14" s="3" t="s">
        <v>16</v>
      </c>
      <c r="C14" s="3"/>
      <c r="D14" s="5">
        <v>2</v>
      </c>
      <c r="E14" t="s">
        <v>3</v>
      </c>
      <c r="F14" s="3" t="s">
        <v>17</v>
      </c>
      <c r="H14" s="5">
        <f>0.011</f>
        <v>1.0999999999999999E-2</v>
      </c>
      <c r="I14" t="s">
        <v>3</v>
      </c>
    </row>
    <row r="15" spans="2:9" x14ac:dyDescent="0.3">
      <c r="B15" s="3" t="s">
        <v>18</v>
      </c>
      <c r="C15" s="3"/>
      <c r="D15" s="5">
        <v>2</v>
      </c>
      <c r="E15" t="s">
        <v>3</v>
      </c>
      <c r="F15" s="3" t="s">
        <v>19</v>
      </c>
      <c r="H15" s="5">
        <f>0.036</f>
        <v>3.5999999999999997E-2</v>
      </c>
      <c r="I15" t="s">
        <v>3</v>
      </c>
    </row>
    <row r="16" spans="2:9" x14ac:dyDescent="0.3">
      <c r="B16" s="3" t="s">
        <v>42</v>
      </c>
      <c r="C16" s="3"/>
      <c r="D16" s="5">
        <f>0.675</f>
        <v>0.67500000000000004</v>
      </c>
      <c r="E16" t="s">
        <v>3</v>
      </c>
      <c r="F16" s="3" t="s">
        <v>20</v>
      </c>
      <c r="H16" s="5">
        <f>0.05</f>
        <v>0.05</v>
      </c>
      <c r="I16" t="s">
        <v>3</v>
      </c>
    </row>
    <row r="17" spans="2:9" x14ac:dyDescent="0.3">
      <c r="B17" s="3" t="s">
        <v>21</v>
      </c>
      <c r="C17" s="3"/>
      <c r="D17" s="5">
        <v>2</v>
      </c>
      <c r="E17" t="s">
        <v>3</v>
      </c>
      <c r="F17" s="3" t="s">
        <v>22</v>
      </c>
      <c r="H17" s="5">
        <f>0.06</f>
        <v>0.06</v>
      </c>
      <c r="I17" t="s">
        <v>3</v>
      </c>
    </row>
    <row r="18" spans="2:9" x14ac:dyDescent="0.3">
      <c r="B18" s="3" t="s">
        <v>23</v>
      </c>
      <c r="C18" s="3"/>
      <c r="D18" s="5">
        <f>0.25</f>
        <v>0.25</v>
      </c>
      <c r="E18" t="s">
        <v>3</v>
      </c>
      <c r="F18" s="3"/>
      <c r="H18" s="5"/>
    </row>
    <row r="19" spans="2:9" x14ac:dyDescent="0.3">
      <c r="B19" s="3"/>
      <c r="C19" s="3"/>
      <c r="D19" s="5"/>
      <c r="F19" s="4" t="s">
        <v>24</v>
      </c>
      <c r="H19" s="5"/>
    </row>
    <row r="20" spans="2:9" x14ac:dyDescent="0.3">
      <c r="B20" s="4" t="s">
        <v>25</v>
      </c>
      <c r="C20" s="3"/>
      <c r="D20" s="5"/>
      <c r="F20" s="3" t="s">
        <v>26</v>
      </c>
      <c r="H20" s="5">
        <f>7.4</f>
        <v>7.4</v>
      </c>
      <c r="I20" t="s">
        <v>3</v>
      </c>
    </row>
    <row r="21" spans="2:9" x14ac:dyDescent="0.3">
      <c r="B21" s="3" t="s">
        <v>27</v>
      </c>
      <c r="C21" s="3"/>
      <c r="D21" s="5">
        <f>0.3</f>
        <v>0.3</v>
      </c>
      <c r="E21" t="s">
        <v>3</v>
      </c>
      <c r="F21" s="3" t="s">
        <v>28</v>
      </c>
      <c r="H21" s="5">
        <f>3.7</f>
        <v>3.7</v>
      </c>
      <c r="I21" t="s">
        <v>3</v>
      </c>
    </row>
    <row r="22" spans="2:9" x14ac:dyDescent="0.3">
      <c r="B22" s="3" t="s">
        <v>29</v>
      </c>
      <c r="C22" s="3"/>
      <c r="D22" s="5">
        <f>0.026</f>
        <v>2.5999999999999999E-2</v>
      </c>
      <c r="E22" t="s">
        <v>3</v>
      </c>
      <c r="F22" s="3" t="s">
        <v>30</v>
      </c>
      <c r="H22" s="5">
        <f>0.1</f>
        <v>0.1</v>
      </c>
      <c r="I22" t="s">
        <v>3</v>
      </c>
    </row>
    <row r="23" spans="2:9" x14ac:dyDescent="0.3">
      <c r="B23" s="3" t="s">
        <v>31</v>
      </c>
      <c r="C23" s="3"/>
      <c r="D23" s="5">
        <f>0.06</f>
        <v>0.06</v>
      </c>
      <c r="E23" t="s">
        <v>3</v>
      </c>
      <c r="F23" s="3"/>
      <c r="H23" s="5"/>
    </row>
    <row r="24" spans="2:9" x14ac:dyDescent="0.3">
      <c r="B24" s="3" t="s">
        <v>32</v>
      </c>
      <c r="C24" s="3"/>
      <c r="D24" s="5">
        <f>0.03</f>
        <v>0.03</v>
      </c>
      <c r="E24" t="s">
        <v>3</v>
      </c>
      <c r="F24" s="4" t="s">
        <v>33</v>
      </c>
      <c r="H24" s="5"/>
    </row>
    <row r="25" spans="2:9" x14ac:dyDescent="0.3">
      <c r="B25" s="3" t="s">
        <v>34</v>
      </c>
      <c r="C25" s="3"/>
      <c r="D25" s="5"/>
      <c r="E25" t="s">
        <v>3</v>
      </c>
      <c r="F25" s="3" t="s">
        <v>195</v>
      </c>
      <c r="H25" s="5">
        <f>2.4</f>
        <v>2.4</v>
      </c>
      <c r="I25" t="s">
        <v>3</v>
      </c>
    </row>
    <row r="26" spans="2:9" x14ac:dyDescent="0.3">
      <c r="B26" s="3" t="s">
        <v>41</v>
      </c>
      <c r="C26" s="3"/>
      <c r="D26" s="5">
        <f>0.3</f>
        <v>0.3</v>
      </c>
      <c r="E26" t="s">
        <v>3</v>
      </c>
      <c r="F26" s="3" t="s">
        <v>35</v>
      </c>
      <c r="H26" s="5">
        <f>1.6</f>
        <v>1.6</v>
      </c>
      <c r="I26" t="s">
        <v>3</v>
      </c>
    </row>
    <row r="27" spans="2:9" x14ac:dyDescent="0.3">
      <c r="B27" s="3" t="s">
        <v>36</v>
      </c>
      <c r="C27" s="3"/>
      <c r="D27" s="5">
        <f>0.22</f>
        <v>0.22</v>
      </c>
      <c r="E27" t="s">
        <v>3</v>
      </c>
      <c r="F27" s="3" t="s">
        <v>37</v>
      </c>
      <c r="H27" s="5">
        <f>1.2</f>
        <v>1.2</v>
      </c>
      <c r="I27" t="s">
        <v>3</v>
      </c>
    </row>
    <row r="28" spans="2:9" x14ac:dyDescent="0.3">
      <c r="B28" s="3" t="s">
        <v>38</v>
      </c>
      <c r="C28" s="3"/>
      <c r="D28" s="5">
        <f>0.15</f>
        <v>0.15</v>
      </c>
      <c r="E28" t="s">
        <v>3</v>
      </c>
      <c r="F28" s="3" t="s">
        <v>39</v>
      </c>
      <c r="H28" s="5">
        <f>1.2</f>
        <v>1.2</v>
      </c>
      <c r="I28" t="s">
        <v>3</v>
      </c>
    </row>
    <row r="29" spans="2:9" x14ac:dyDescent="0.3">
      <c r="F29" s="3" t="s">
        <v>40</v>
      </c>
      <c r="H29" s="5">
        <f>0.047</f>
        <v>4.7E-2</v>
      </c>
      <c r="I29" t="s">
        <v>3</v>
      </c>
    </row>
    <row r="31" spans="2:9" ht="18" x14ac:dyDescent="0.3">
      <c r="B31" s="8" t="s">
        <v>43</v>
      </c>
    </row>
    <row r="33" spans="2:5" x14ac:dyDescent="0.3">
      <c r="B33" t="s">
        <v>44</v>
      </c>
    </row>
    <row r="34" spans="2:5" x14ac:dyDescent="0.3">
      <c r="B34" s="9"/>
    </row>
    <row r="35" spans="2:5" x14ac:dyDescent="0.3">
      <c r="B35" s="11" t="s">
        <v>45</v>
      </c>
    </row>
    <row r="36" spans="2:5" x14ac:dyDescent="0.3">
      <c r="B36" s="11" t="s">
        <v>46</v>
      </c>
    </row>
    <row r="38" spans="2:5" ht="18" x14ac:dyDescent="0.3">
      <c r="B38" s="8" t="s">
        <v>47</v>
      </c>
    </row>
    <row r="39" spans="2:5" x14ac:dyDescent="0.3">
      <c r="B39" s="9"/>
      <c r="C39" s="10" t="s">
        <v>48</v>
      </c>
    </row>
    <row r="40" spans="2:5" x14ac:dyDescent="0.3">
      <c r="D40" s="11" t="s">
        <v>49</v>
      </c>
    </row>
    <row r="41" spans="2:5" x14ac:dyDescent="0.3">
      <c r="B41" s="9"/>
      <c r="C41" s="10" t="s">
        <v>50</v>
      </c>
    </row>
    <row r="42" spans="2:5" x14ac:dyDescent="0.3">
      <c r="B42" s="9"/>
      <c r="D42" s="11" t="s">
        <v>51</v>
      </c>
    </row>
    <row r="43" spans="2:5" ht="15.6" x14ac:dyDescent="0.3">
      <c r="D43" s="12" t="s">
        <v>52</v>
      </c>
    </row>
    <row r="44" spans="2:5" x14ac:dyDescent="0.3">
      <c r="B44" s="9"/>
      <c r="D44" s="13"/>
      <c r="E44" s="13" t="s">
        <v>53</v>
      </c>
    </row>
    <row r="45" spans="2:5" x14ac:dyDescent="0.3">
      <c r="D45" s="13"/>
      <c r="E45" s="13" t="s">
        <v>54</v>
      </c>
    </row>
    <row r="46" spans="2:5" ht="15.6" x14ac:dyDescent="0.3">
      <c r="B46" s="9"/>
      <c r="D46" s="14" t="s">
        <v>55</v>
      </c>
    </row>
    <row r="47" spans="2:5" x14ac:dyDescent="0.3">
      <c r="B47" s="9"/>
      <c r="D47" s="11"/>
      <c r="E47" s="1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90E7-1C0A-4C9E-9E7C-0C6D3EB6F5CE}">
  <dimension ref="B2:AC40"/>
  <sheetViews>
    <sheetView topLeftCell="A6" zoomScale="73" zoomScaleNormal="73" workbookViewId="0">
      <selection activeCell="AC37" sqref="AC37"/>
    </sheetView>
  </sheetViews>
  <sheetFormatPr defaultRowHeight="14.4" x14ac:dyDescent="0.3"/>
  <cols>
    <col min="3" max="3" width="18.6640625" customWidth="1"/>
    <col min="4" max="4" width="12.109375" customWidth="1"/>
    <col min="5" max="5" width="15.109375" customWidth="1"/>
    <col min="6" max="6" width="12.88671875" customWidth="1"/>
    <col min="7" max="7" width="15.6640625" customWidth="1"/>
    <col min="8" max="8" width="11" customWidth="1"/>
    <col min="9" max="9" width="10.44140625" customWidth="1"/>
    <col min="10" max="10" width="12.109375" customWidth="1"/>
    <col min="15" max="15" width="9.109375" customWidth="1"/>
    <col min="17" max="20" width="3.109375" customWidth="1"/>
    <col min="26" max="26" width="11.21875" customWidth="1"/>
    <col min="27" max="27" width="10.109375" customWidth="1"/>
    <col min="28" max="28" width="9.77734375" customWidth="1"/>
  </cols>
  <sheetData>
    <row r="2" spans="2:18" ht="15.6" x14ac:dyDescent="0.35">
      <c r="B2" s="15" t="s">
        <v>57</v>
      </c>
      <c r="C2" s="5">
        <f>230</f>
        <v>230</v>
      </c>
      <c r="D2" t="s">
        <v>58</v>
      </c>
      <c r="F2" s="15" t="s">
        <v>197</v>
      </c>
      <c r="G2" s="5">
        <v>400</v>
      </c>
      <c r="H2" t="s">
        <v>58</v>
      </c>
    </row>
    <row r="3" spans="2:18" x14ac:dyDescent="0.3">
      <c r="B3" s="15" t="s">
        <v>59</v>
      </c>
      <c r="C3" s="5">
        <v>1.72E-2</v>
      </c>
      <c r="D3" t="s">
        <v>60</v>
      </c>
    </row>
    <row r="4" spans="2:18" ht="15.6" x14ac:dyDescent="0.3">
      <c r="B4" s="16"/>
      <c r="C4" s="45"/>
      <c r="G4" s="45"/>
    </row>
    <row r="5" spans="2:18" x14ac:dyDescent="0.3">
      <c r="B5" s="16" t="s">
        <v>62</v>
      </c>
      <c r="C5" s="21">
        <f>0.89*1</f>
        <v>0.89</v>
      </c>
      <c r="D5" s="24" t="s">
        <v>138</v>
      </c>
      <c r="L5" t="s">
        <v>159</v>
      </c>
    </row>
    <row r="6" spans="2:18" x14ac:dyDescent="0.3">
      <c r="B6" s="16" t="s">
        <v>62</v>
      </c>
      <c r="C6" s="20">
        <f>1.06*1*1</f>
        <v>1.06</v>
      </c>
      <c r="D6" t="s">
        <v>157</v>
      </c>
      <c r="L6" t="s">
        <v>158</v>
      </c>
    </row>
    <row r="7" spans="2:18" x14ac:dyDescent="0.3">
      <c r="C7" s="3"/>
      <c r="N7" s="19"/>
      <c r="O7" s="18"/>
      <c r="P7" s="18"/>
    </row>
    <row r="8" spans="2:18" x14ac:dyDescent="0.3">
      <c r="B8" s="24" t="s">
        <v>134</v>
      </c>
      <c r="I8" s="24" t="s">
        <v>135</v>
      </c>
      <c r="P8" s="19"/>
      <c r="Q8" s="18"/>
      <c r="R8" s="18"/>
    </row>
    <row r="9" spans="2:18" x14ac:dyDescent="0.3">
      <c r="C9" t="s">
        <v>63</v>
      </c>
      <c r="J9" s="24" t="s">
        <v>64</v>
      </c>
    </row>
    <row r="10" spans="2:18" ht="15.6" x14ac:dyDescent="0.35">
      <c r="D10" s="15" t="s">
        <v>219</v>
      </c>
      <c r="E10" s="5" t="s">
        <v>220</v>
      </c>
      <c r="K10" s="15" t="s">
        <v>65</v>
      </c>
      <c r="L10" s="33">
        <f>M29</f>
        <v>30</v>
      </c>
      <c r="N10" s="5" t="s">
        <v>65</v>
      </c>
      <c r="O10" s="20" t="s">
        <v>66</v>
      </c>
      <c r="P10" s="5" t="s">
        <v>67</v>
      </c>
      <c r="Q10" s="20" t="s">
        <v>66</v>
      </c>
      <c r="R10" s="5" t="s">
        <v>68</v>
      </c>
    </row>
    <row r="11" spans="2:18" ht="15.6" x14ac:dyDescent="0.35">
      <c r="C11" t="s">
        <v>69</v>
      </c>
      <c r="K11" s="15" t="s">
        <v>70</v>
      </c>
      <c r="L11" s="3">
        <v>76</v>
      </c>
      <c r="N11" s="21">
        <f>L10</f>
        <v>30</v>
      </c>
      <c r="O11" s="5"/>
      <c r="P11" s="5">
        <f>L13</f>
        <v>80</v>
      </c>
      <c r="Q11" s="5"/>
      <c r="R11" s="5">
        <f>L11*C6</f>
        <v>80.56</v>
      </c>
    </row>
    <row r="12" spans="2:18" x14ac:dyDescent="0.3">
      <c r="D12" s="15" t="s">
        <v>71</v>
      </c>
      <c r="E12" s="21" t="s">
        <v>136</v>
      </c>
      <c r="K12" s="15" t="s">
        <v>72</v>
      </c>
      <c r="L12" s="3">
        <v>16</v>
      </c>
    </row>
    <row r="13" spans="2:18" ht="15.6" x14ac:dyDescent="0.35">
      <c r="C13" t="s">
        <v>73</v>
      </c>
      <c r="K13" s="15" t="s">
        <v>67</v>
      </c>
      <c r="L13" s="3">
        <v>80</v>
      </c>
    </row>
    <row r="14" spans="2:18" x14ac:dyDescent="0.3">
      <c r="J14" s="24" t="s">
        <v>74</v>
      </c>
    </row>
    <row r="15" spans="2:18" ht="16.2" x14ac:dyDescent="0.35">
      <c r="B15" s="16" t="s">
        <v>61</v>
      </c>
      <c r="C15" s="34">
        <f>0.005</f>
        <v>5.0000000000000001E-3</v>
      </c>
      <c r="D15" s="72" t="s">
        <v>222</v>
      </c>
      <c r="K15" s="5" t="s">
        <v>75</v>
      </c>
      <c r="L15" s="20" t="s">
        <v>66</v>
      </c>
      <c r="M15" s="5" t="s">
        <v>76</v>
      </c>
      <c r="N15" s="5"/>
    </row>
    <row r="16" spans="2:18" ht="15.6" x14ac:dyDescent="0.3">
      <c r="B16" s="16" t="s">
        <v>61</v>
      </c>
      <c r="C16" s="34">
        <f>0.01</f>
        <v>0.01</v>
      </c>
      <c r="D16" s="72" t="s">
        <v>221</v>
      </c>
      <c r="K16" s="5">
        <v>116</v>
      </c>
      <c r="L16" s="5"/>
      <c r="M16" s="5">
        <f>1.45*R11</f>
        <v>116.812</v>
      </c>
    </row>
    <row r="17" spans="2:29" ht="15.6" x14ac:dyDescent="0.3">
      <c r="B17" s="16" t="s">
        <v>61</v>
      </c>
      <c r="C17" s="34">
        <f>0.01</f>
        <v>0.01</v>
      </c>
      <c r="D17" s="72" t="s">
        <v>198</v>
      </c>
      <c r="K17" s="5"/>
      <c r="L17" s="5"/>
      <c r="M17" s="5"/>
    </row>
    <row r="18" spans="2:29" x14ac:dyDescent="0.3">
      <c r="C18" s="16"/>
      <c r="D18" s="34"/>
      <c r="J18" s="24" t="s">
        <v>171</v>
      </c>
      <c r="M18" s="5"/>
    </row>
    <row r="19" spans="2:29" ht="15.6" x14ac:dyDescent="0.3">
      <c r="B19" s="16"/>
      <c r="C19" s="34"/>
      <c r="D19" s="72"/>
      <c r="I19" s="15" t="s">
        <v>172</v>
      </c>
      <c r="J19" s="16" t="s">
        <v>77</v>
      </c>
      <c r="K19" s="34">
        <f>(2*0.0225*L$10*(N33/L$12)*(100/230))/100</f>
        <v>6.1752330611413043E-3</v>
      </c>
      <c r="L19" t="str">
        <f>IF(C19&gt;=K19,"satisfaz","nao satisfaz")</f>
        <v>nao satisfaz</v>
      </c>
      <c r="M19" s="5"/>
    </row>
    <row r="20" spans="2:29" x14ac:dyDescent="0.3">
      <c r="H20" s="16"/>
      <c r="I20" s="34"/>
      <c r="K20" s="5"/>
    </row>
    <row r="21" spans="2:29" x14ac:dyDescent="0.3">
      <c r="H21" s="16"/>
      <c r="I21" s="34"/>
      <c r="K21" s="5"/>
    </row>
    <row r="22" spans="2:29" x14ac:dyDescent="0.3">
      <c r="H22" s="16"/>
      <c r="I22" s="34"/>
      <c r="K22" s="5"/>
    </row>
    <row r="23" spans="2:29" ht="15" thickBot="1" x14ac:dyDescent="0.35">
      <c r="C23" s="16"/>
      <c r="D23" s="34"/>
      <c r="I23" s="5"/>
      <c r="J23" s="5"/>
      <c r="K23" s="5"/>
    </row>
    <row r="24" spans="2:29" ht="15" thickBot="1" x14ac:dyDescent="0.35">
      <c r="F24" s="139"/>
      <c r="G24" s="140"/>
      <c r="H24" s="24"/>
      <c r="I24" s="24"/>
      <c r="J24" s="24"/>
      <c r="K24" s="24"/>
      <c r="L24" s="24"/>
      <c r="M24" s="24"/>
      <c r="N24" s="200" t="s">
        <v>140</v>
      </c>
      <c r="O24" s="198"/>
      <c r="P24" s="198"/>
      <c r="Q24" s="198"/>
      <c r="R24" s="198"/>
      <c r="S24" s="198"/>
      <c r="T24" s="198"/>
      <c r="U24" s="198"/>
      <c r="V24" s="198"/>
      <c r="W24" s="199"/>
      <c r="X24" s="24"/>
      <c r="Y24" s="24"/>
      <c r="Z24" s="24"/>
      <c r="AA24" s="24"/>
      <c r="AB24" s="24"/>
    </row>
    <row r="25" spans="2:29" ht="15" thickBot="1" x14ac:dyDescent="0.35">
      <c r="F25" s="139"/>
      <c r="G25" s="140"/>
      <c r="H25" s="24"/>
      <c r="I25" s="24"/>
      <c r="J25" s="24"/>
      <c r="K25" s="24"/>
      <c r="L25" s="24"/>
      <c r="M25" s="24"/>
      <c r="N25" s="141" t="s">
        <v>156</v>
      </c>
      <c r="O25" s="204" t="s">
        <v>141</v>
      </c>
      <c r="P25" s="205"/>
      <c r="Q25" s="205"/>
      <c r="R25" s="205"/>
      <c r="S25" s="205"/>
      <c r="T25" s="205"/>
      <c r="U25" s="206"/>
      <c r="V25" s="198" t="s">
        <v>147</v>
      </c>
      <c r="W25" s="199"/>
      <c r="X25" s="133" t="s">
        <v>154</v>
      </c>
      <c r="Y25" s="120" t="s">
        <v>166</v>
      </c>
      <c r="Z25" s="121" t="s">
        <v>85</v>
      </c>
      <c r="AA25" s="142" t="s">
        <v>163</v>
      </c>
      <c r="AB25" s="143" t="s">
        <v>155</v>
      </c>
      <c r="AC25" s="194" t="s">
        <v>244</v>
      </c>
    </row>
    <row r="26" spans="2:29" ht="15" thickBot="1" x14ac:dyDescent="0.35">
      <c r="B26" s="4" t="s">
        <v>130</v>
      </c>
      <c r="C26" s="3"/>
      <c r="D26" s="201" t="s">
        <v>165</v>
      </c>
      <c r="E26" s="134" t="s">
        <v>78</v>
      </c>
      <c r="F26" s="144" t="s">
        <v>79</v>
      </c>
      <c r="G26" s="145" t="s">
        <v>80</v>
      </c>
      <c r="H26" s="145" t="s">
        <v>133</v>
      </c>
      <c r="I26" s="145" t="s">
        <v>81</v>
      </c>
      <c r="J26" s="145" t="s">
        <v>82</v>
      </c>
      <c r="K26" s="145" t="s">
        <v>225</v>
      </c>
      <c r="L26" s="145" t="s">
        <v>83</v>
      </c>
      <c r="M26" s="146" t="s">
        <v>84</v>
      </c>
      <c r="N26" s="147" t="s">
        <v>170</v>
      </c>
      <c r="O26" s="207"/>
      <c r="P26" s="208"/>
      <c r="Q26" s="208"/>
      <c r="R26" s="208"/>
      <c r="S26" s="208"/>
      <c r="T26" s="208"/>
      <c r="U26" s="209"/>
      <c r="V26" s="144" t="s">
        <v>148</v>
      </c>
      <c r="W26" s="148" t="s">
        <v>149</v>
      </c>
      <c r="X26" s="149" t="s">
        <v>153</v>
      </c>
      <c r="Y26" s="150" t="s">
        <v>167</v>
      </c>
      <c r="Z26" s="131" t="s">
        <v>168</v>
      </c>
      <c r="AA26" s="151" t="s">
        <v>168</v>
      </c>
      <c r="AB26" s="152" t="s">
        <v>169</v>
      </c>
      <c r="AC26" s="193" t="s">
        <v>245</v>
      </c>
    </row>
    <row r="27" spans="2:29" ht="15" thickTop="1" x14ac:dyDescent="0.3">
      <c r="B27" s="3" t="s">
        <v>139</v>
      </c>
      <c r="C27" s="3" t="s">
        <v>218</v>
      </c>
      <c r="D27" s="202"/>
      <c r="E27" s="135" t="s">
        <v>119</v>
      </c>
      <c r="F27" s="25" t="s">
        <v>120</v>
      </c>
      <c r="G27" s="26" t="s">
        <v>86</v>
      </c>
      <c r="H27" s="26">
        <f>10.35</f>
        <v>10.35</v>
      </c>
      <c r="I27" s="38">
        <f>H27*J27</f>
        <v>7.7624999999999993</v>
      </c>
      <c r="J27" s="26">
        <f>0.75</f>
        <v>0.75</v>
      </c>
      <c r="K27" s="26">
        <f>1</f>
        <v>1</v>
      </c>
      <c r="L27" s="26">
        <f>230</f>
        <v>230</v>
      </c>
      <c r="M27" s="49">
        <f>(H27*10^3)/(L27*K27)</f>
        <v>45</v>
      </c>
      <c r="N27" s="59">
        <v>14.424779300000001</v>
      </c>
      <c r="O27" s="52" t="s">
        <v>142</v>
      </c>
      <c r="P27" s="46">
        <v>3</v>
      </c>
      <c r="Q27" s="38" t="s">
        <v>145</v>
      </c>
      <c r="R27" s="26">
        <v>16</v>
      </c>
      <c r="S27" s="38"/>
      <c r="T27" s="38"/>
      <c r="U27" s="53"/>
      <c r="V27" s="57" t="s">
        <v>150</v>
      </c>
      <c r="W27" s="53" t="s">
        <v>151</v>
      </c>
      <c r="X27" s="70">
        <v>16</v>
      </c>
      <c r="Y27" s="35">
        <f t="shared" ref="Y27:Y32" si="0">2*M27*N27*(((1.25*C$3)/X27)*K27+1*SIN(ACOS(K27)))*(100/L27)</f>
        <v>0.7584768463451087</v>
      </c>
      <c r="Z27" s="27" t="s">
        <v>210</v>
      </c>
      <c r="AA27" s="26" t="s">
        <v>212</v>
      </c>
      <c r="AB27" s="86">
        <v>30</v>
      </c>
      <c r="AC27" s="5">
        <v>40</v>
      </c>
    </row>
    <row r="28" spans="2:29" x14ac:dyDescent="0.3">
      <c r="B28" s="3" t="s">
        <v>139</v>
      </c>
      <c r="C28" s="3" t="s">
        <v>218</v>
      </c>
      <c r="D28" s="202"/>
      <c r="E28" s="136" t="s">
        <v>121</v>
      </c>
      <c r="F28" s="28" t="s">
        <v>120</v>
      </c>
      <c r="G28" s="29" t="s">
        <v>86</v>
      </c>
      <c r="H28" s="29">
        <f>10.35</f>
        <v>10.35</v>
      </c>
      <c r="I28" s="30">
        <f>H28*J28</f>
        <v>7.7624999999999993</v>
      </c>
      <c r="J28" s="29">
        <f t="shared" ref="J28:J33" si="1">0.75</f>
        <v>0.75</v>
      </c>
      <c r="K28" s="29">
        <f>1</f>
        <v>1</v>
      </c>
      <c r="L28" s="29">
        <f>230</f>
        <v>230</v>
      </c>
      <c r="M28" s="50">
        <f t="shared" ref="M28:M33" si="2">(H28*10^3)/(L28*K28)</f>
        <v>45</v>
      </c>
      <c r="N28" s="60">
        <v>19.500417899999999</v>
      </c>
      <c r="O28" s="52" t="s">
        <v>142</v>
      </c>
      <c r="P28" s="46">
        <v>3</v>
      </c>
      <c r="Q28" s="38" t="s">
        <v>145</v>
      </c>
      <c r="R28" s="26">
        <v>16</v>
      </c>
      <c r="S28" s="30"/>
      <c r="T28" s="30"/>
      <c r="U28" s="62"/>
      <c r="V28" s="57" t="s">
        <v>150</v>
      </c>
      <c r="W28" s="53" t="s">
        <v>151</v>
      </c>
      <c r="X28" s="70">
        <v>16</v>
      </c>
      <c r="Y28" s="36">
        <f>2*M28*N28*(((1.25*C$3)/X28)*K28+1*SIN(ACOS(K28)))*(100/L28)</f>
        <v>1.0253616477309782</v>
      </c>
      <c r="Z28" s="27" t="s">
        <v>210</v>
      </c>
      <c r="AA28" s="26" t="s">
        <v>212</v>
      </c>
      <c r="AB28" s="86">
        <v>30</v>
      </c>
      <c r="AC28" s="5">
        <v>40</v>
      </c>
    </row>
    <row r="29" spans="2:29" x14ac:dyDescent="0.3">
      <c r="B29" s="3" t="s">
        <v>139</v>
      </c>
      <c r="C29" s="3" t="s">
        <v>218</v>
      </c>
      <c r="D29" s="202"/>
      <c r="E29" s="136" t="s">
        <v>122</v>
      </c>
      <c r="F29" s="28" t="s">
        <v>120</v>
      </c>
      <c r="G29" s="29" t="s">
        <v>86</v>
      </c>
      <c r="H29" s="29">
        <f>6.9</f>
        <v>6.9</v>
      </c>
      <c r="I29" s="30">
        <f>H29*J29</f>
        <v>5.1750000000000007</v>
      </c>
      <c r="J29" s="29">
        <f t="shared" si="1"/>
        <v>0.75</v>
      </c>
      <c r="K29" s="29">
        <f>1</f>
        <v>1</v>
      </c>
      <c r="L29" s="29">
        <f>230</f>
        <v>230</v>
      </c>
      <c r="M29" s="50">
        <f t="shared" si="2"/>
        <v>30</v>
      </c>
      <c r="N29" s="60">
        <v>18.7091508</v>
      </c>
      <c r="O29" s="52" t="s">
        <v>142</v>
      </c>
      <c r="P29" s="46">
        <v>3</v>
      </c>
      <c r="Q29" s="38" t="s">
        <v>145</v>
      </c>
      <c r="R29" s="26">
        <v>10</v>
      </c>
      <c r="S29" s="30"/>
      <c r="T29" s="30"/>
      <c r="U29" s="62"/>
      <c r="V29" s="57" t="s">
        <v>150</v>
      </c>
      <c r="W29" s="53" t="s">
        <v>151</v>
      </c>
      <c r="X29" s="68">
        <v>10</v>
      </c>
      <c r="Y29" s="36">
        <f t="shared" si="0"/>
        <v>1.0493393274782608</v>
      </c>
      <c r="Z29" s="27" t="s">
        <v>211</v>
      </c>
      <c r="AA29" s="26" t="s">
        <v>213</v>
      </c>
      <c r="AB29" s="86">
        <v>30</v>
      </c>
      <c r="AC29" s="5">
        <v>32</v>
      </c>
    </row>
    <row r="30" spans="2:29" x14ac:dyDescent="0.3">
      <c r="B30" s="3" t="s">
        <v>139</v>
      </c>
      <c r="C30" s="3" t="s">
        <v>218</v>
      </c>
      <c r="D30" s="202"/>
      <c r="E30" s="136" t="s">
        <v>123</v>
      </c>
      <c r="F30" s="28" t="s">
        <v>124</v>
      </c>
      <c r="G30" s="29" t="s">
        <v>86</v>
      </c>
      <c r="H30" s="29">
        <f>10.35</f>
        <v>10.35</v>
      </c>
      <c r="I30" s="30">
        <f t="shared" ref="I30:I34" si="3">H30*J30</f>
        <v>7.7624999999999993</v>
      </c>
      <c r="J30" s="29">
        <f t="shared" si="1"/>
        <v>0.75</v>
      </c>
      <c r="K30" s="29">
        <f>1</f>
        <v>1</v>
      </c>
      <c r="L30" s="29">
        <f>230</f>
        <v>230</v>
      </c>
      <c r="M30" s="50">
        <f t="shared" si="2"/>
        <v>45</v>
      </c>
      <c r="N30" s="60">
        <v>6.66568483</v>
      </c>
      <c r="O30" s="52" t="s">
        <v>142</v>
      </c>
      <c r="P30" s="46">
        <v>3</v>
      </c>
      <c r="Q30" s="38" t="s">
        <v>145</v>
      </c>
      <c r="R30" s="26">
        <v>16</v>
      </c>
      <c r="S30" s="30"/>
      <c r="T30" s="30"/>
      <c r="U30" s="62"/>
      <c r="V30" s="57" t="s">
        <v>150</v>
      </c>
      <c r="W30" s="53" t="s">
        <v>151</v>
      </c>
      <c r="X30" s="68">
        <v>16</v>
      </c>
      <c r="Y30" s="36">
        <f t="shared" si="0"/>
        <v>0.35049185179483694</v>
      </c>
      <c r="Z30" s="27" t="s">
        <v>210</v>
      </c>
      <c r="AA30" s="26" t="s">
        <v>212</v>
      </c>
      <c r="AB30" s="86">
        <v>30</v>
      </c>
      <c r="AC30" s="5">
        <v>40</v>
      </c>
    </row>
    <row r="31" spans="2:29" x14ac:dyDescent="0.3">
      <c r="B31" s="3" t="s">
        <v>139</v>
      </c>
      <c r="C31" s="3" t="s">
        <v>218</v>
      </c>
      <c r="D31" s="202"/>
      <c r="E31" s="136" t="s">
        <v>125</v>
      </c>
      <c r="F31" s="28" t="s">
        <v>124</v>
      </c>
      <c r="G31" s="29" t="s">
        <v>86</v>
      </c>
      <c r="H31" s="29">
        <f>10.35</f>
        <v>10.35</v>
      </c>
      <c r="I31" s="30">
        <f t="shared" si="3"/>
        <v>7.7624999999999993</v>
      </c>
      <c r="J31" s="29">
        <f t="shared" si="1"/>
        <v>0.75</v>
      </c>
      <c r="K31" s="29">
        <f>1</f>
        <v>1</v>
      </c>
      <c r="L31" s="29">
        <f>230</f>
        <v>230</v>
      </c>
      <c r="M31" s="50">
        <f t="shared" si="2"/>
        <v>45</v>
      </c>
      <c r="N31" s="60">
        <v>8.3778070899999992</v>
      </c>
      <c r="O31" s="52" t="s">
        <v>142</v>
      </c>
      <c r="P31" s="46">
        <v>3</v>
      </c>
      <c r="Q31" s="38" t="s">
        <v>145</v>
      </c>
      <c r="R31" s="26">
        <v>16</v>
      </c>
      <c r="S31" s="30"/>
      <c r="T31" s="30"/>
      <c r="U31" s="62"/>
      <c r="V31" s="57" t="s">
        <v>150</v>
      </c>
      <c r="W31" s="53" t="s">
        <v>151</v>
      </c>
      <c r="X31" s="68">
        <v>16</v>
      </c>
      <c r="Y31" s="36">
        <f t="shared" si="0"/>
        <v>0.44051784562907603</v>
      </c>
      <c r="Z31" s="27" t="s">
        <v>210</v>
      </c>
      <c r="AA31" s="26" t="s">
        <v>212</v>
      </c>
      <c r="AB31" s="86">
        <v>30</v>
      </c>
      <c r="AC31" s="5">
        <v>40</v>
      </c>
    </row>
    <row r="32" spans="2:29" x14ac:dyDescent="0.3">
      <c r="B32" s="3" t="s">
        <v>139</v>
      </c>
      <c r="C32" s="3" t="s">
        <v>218</v>
      </c>
      <c r="D32" s="202"/>
      <c r="E32" s="136" t="s">
        <v>126</v>
      </c>
      <c r="F32" s="28" t="s">
        <v>87</v>
      </c>
      <c r="G32" s="29" t="s">
        <v>86</v>
      </c>
      <c r="H32" s="29">
        <f>10.35</f>
        <v>10.35</v>
      </c>
      <c r="I32" s="30">
        <f t="shared" si="3"/>
        <v>7.7624999999999993</v>
      </c>
      <c r="J32" s="29">
        <f t="shared" si="1"/>
        <v>0.75</v>
      </c>
      <c r="K32" s="29">
        <f>1</f>
        <v>1</v>
      </c>
      <c r="L32" s="29">
        <f>230</f>
        <v>230</v>
      </c>
      <c r="M32" s="50">
        <f t="shared" si="2"/>
        <v>45</v>
      </c>
      <c r="N32" s="60">
        <v>13.7835026</v>
      </c>
      <c r="O32" s="52" t="s">
        <v>142</v>
      </c>
      <c r="P32" s="46">
        <v>3</v>
      </c>
      <c r="Q32" s="38" t="s">
        <v>145</v>
      </c>
      <c r="R32" s="26">
        <v>16</v>
      </c>
      <c r="S32" s="30"/>
      <c r="T32" s="30"/>
      <c r="U32" s="62"/>
      <c r="V32" s="57" t="s">
        <v>150</v>
      </c>
      <c r="W32" s="53" t="s">
        <v>151</v>
      </c>
      <c r="X32" s="68">
        <v>16</v>
      </c>
      <c r="Y32" s="36">
        <f t="shared" si="0"/>
        <v>0.72475754160326078</v>
      </c>
      <c r="Z32" s="27" t="s">
        <v>210</v>
      </c>
      <c r="AA32" s="26" t="s">
        <v>212</v>
      </c>
      <c r="AB32" s="86">
        <v>30</v>
      </c>
      <c r="AC32" s="5">
        <v>40</v>
      </c>
    </row>
    <row r="33" spans="2:29" x14ac:dyDescent="0.3">
      <c r="B33" s="3" t="s">
        <v>139</v>
      </c>
      <c r="C33" s="3" t="s">
        <v>218</v>
      </c>
      <c r="D33" s="202"/>
      <c r="E33" s="136" t="s">
        <v>127</v>
      </c>
      <c r="F33" s="28" t="s">
        <v>87</v>
      </c>
      <c r="G33" s="29" t="s">
        <v>86</v>
      </c>
      <c r="H33" s="29">
        <f>10.35</f>
        <v>10.35</v>
      </c>
      <c r="I33" s="30">
        <f t="shared" si="3"/>
        <v>7.7624999999999993</v>
      </c>
      <c r="J33" s="29">
        <f t="shared" si="1"/>
        <v>0.75</v>
      </c>
      <c r="K33" s="29">
        <f>1</f>
        <v>1</v>
      </c>
      <c r="L33" s="29">
        <f>230</f>
        <v>230</v>
      </c>
      <c r="M33" s="50">
        <f t="shared" si="2"/>
        <v>45</v>
      </c>
      <c r="N33" s="60">
        <v>16.833227900000001</v>
      </c>
      <c r="O33" s="52" t="s">
        <v>142</v>
      </c>
      <c r="P33" s="46">
        <v>3</v>
      </c>
      <c r="Q33" s="38" t="s">
        <v>145</v>
      </c>
      <c r="R33" s="26">
        <v>16</v>
      </c>
      <c r="S33" s="30"/>
      <c r="T33" s="30"/>
      <c r="U33" s="62"/>
      <c r="V33" s="57" t="s">
        <v>150</v>
      </c>
      <c r="W33" s="53" t="s">
        <v>151</v>
      </c>
      <c r="X33" s="68">
        <v>16</v>
      </c>
      <c r="Y33" s="36">
        <f>2*M33*N33*(((1.25*C$3)/X33)*K33+1*SIN(ACOS(K33)))*(100/L33)</f>
        <v>0.88511673876358676</v>
      </c>
      <c r="Z33" s="27" t="s">
        <v>210</v>
      </c>
      <c r="AA33" s="26" t="s">
        <v>212</v>
      </c>
      <c r="AB33" s="86">
        <v>30</v>
      </c>
      <c r="AC33" s="5">
        <v>40</v>
      </c>
    </row>
    <row r="34" spans="2:29" ht="15" thickBot="1" x14ac:dyDescent="0.35">
      <c r="B34" s="3" t="s">
        <v>139</v>
      </c>
      <c r="C34" s="3" t="s">
        <v>217</v>
      </c>
      <c r="D34" s="203"/>
      <c r="E34" s="137" t="s">
        <v>129</v>
      </c>
      <c r="F34" s="31" t="s">
        <v>124</v>
      </c>
      <c r="G34" s="32" t="s">
        <v>128</v>
      </c>
      <c r="H34" s="32">
        <v>20.7</v>
      </c>
      <c r="I34" s="43">
        <f t="shared" si="3"/>
        <v>20.7</v>
      </c>
      <c r="J34" s="32">
        <v>1</v>
      </c>
      <c r="K34" s="32">
        <f>1</f>
        <v>1</v>
      </c>
      <c r="L34" s="32">
        <f>400</f>
        <v>400</v>
      </c>
      <c r="M34" s="51">
        <f>(H34*10^3)/(SQRT(3)*L34*K34)</f>
        <v>29.877876430563134</v>
      </c>
      <c r="N34" s="61">
        <v>13.5713063</v>
      </c>
      <c r="O34" s="63" t="s">
        <v>143</v>
      </c>
      <c r="P34" s="47">
        <v>5</v>
      </c>
      <c r="Q34" s="54" t="s">
        <v>145</v>
      </c>
      <c r="R34" s="32">
        <v>16</v>
      </c>
      <c r="S34" s="43"/>
      <c r="T34" s="43"/>
      <c r="U34" s="64"/>
      <c r="V34" s="58" t="s">
        <v>150</v>
      </c>
      <c r="W34" s="55" t="s">
        <v>151</v>
      </c>
      <c r="X34" s="69">
        <v>16</v>
      </c>
      <c r="Y34" s="37">
        <f>SQRT(3)*M34*N34*(((1.25*C$3)/X34)*K34+1*SIN(ACOS(K34)))*(100/L34)</f>
        <v>0.23593397925058593</v>
      </c>
      <c r="Z34" s="88" t="s">
        <v>215</v>
      </c>
      <c r="AA34" s="89" t="s">
        <v>216</v>
      </c>
      <c r="AB34" s="90">
        <v>30</v>
      </c>
      <c r="AC34" s="5">
        <v>40</v>
      </c>
    </row>
    <row r="35" spans="2:29" ht="15" thickBot="1" x14ac:dyDescent="0.35">
      <c r="B35" s="5"/>
      <c r="C35" s="5"/>
      <c r="D35" s="5"/>
      <c r="E35" s="7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71"/>
      <c r="W35" s="5"/>
      <c r="X35" s="5"/>
      <c r="Y35" s="39"/>
      <c r="Z35" s="5"/>
      <c r="AA35" s="5"/>
      <c r="AB35" s="5"/>
      <c r="AC35" s="5"/>
    </row>
    <row r="36" spans="2:29" ht="15" thickBot="1" x14ac:dyDescent="0.35">
      <c r="B36" s="3" t="s">
        <v>137</v>
      </c>
      <c r="C36" s="3" t="s">
        <v>176</v>
      </c>
      <c r="D36" s="5"/>
      <c r="E36" s="138" t="s">
        <v>131</v>
      </c>
      <c r="F36" s="44" t="s">
        <v>124</v>
      </c>
      <c r="G36" s="40" t="s">
        <v>128</v>
      </c>
      <c r="H36" s="40" t="s">
        <v>132</v>
      </c>
      <c r="I36" s="40">
        <v>69</v>
      </c>
      <c r="J36" s="40" t="s">
        <v>132</v>
      </c>
      <c r="K36" s="40">
        <v>1</v>
      </c>
      <c r="L36" s="40">
        <f>400</f>
        <v>400</v>
      </c>
      <c r="M36" s="91">
        <f>(I36*10^3)/(SQRT(3)*L36*K36)</f>
        <v>99.592921435210442</v>
      </c>
      <c r="N36" s="95">
        <v>48.819206399999999</v>
      </c>
      <c r="O36" s="94" t="s">
        <v>144</v>
      </c>
      <c r="P36" s="48">
        <v>4</v>
      </c>
      <c r="Q36" s="41" t="s">
        <v>146</v>
      </c>
      <c r="R36" s="48">
        <v>50</v>
      </c>
      <c r="S36" s="41"/>
      <c r="T36" s="41"/>
      <c r="U36" s="91"/>
      <c r="V36" s="92" t="s">
        <v>150</v>
      </c>
      <c r="W36" s="93" t="s">
        <v>152</v>
      </c>
      <c r="X36" s="44">
        <v>50</v>
      </c>
      <c r="Y36" s="42">
        <f>SQRT(3)*M36*N36*(((1.25*C$3)/X36)*K36+1*SIN(ACOS(K36)))*(100/L36)</f>
        <v>0.90529115867999987</v>
      </c>
      <c r="Z36" s="40" t="s">
        <v>214</v>
      </c>
      <c r="AA36" s="67" t="s">
        <v>239</v>
      </c>
      <c r="AB36" s="87">
        <v>300</v>
      </c>
      <c r="AC36" s="5">
        <v>75</v>
      </c>
    </row>
    <row r="38" spans="2:29" x14ac:dyDescent="0.3">
      <c r="G38" s="73" t="s">
        <v>162</v>
      </c>
      <c r="H38" s="5">
        <f>SUM(H27:H34)</f>
        <v>89.7</v>
      </c>
      <c r="I38" s="5">
        <f>SUM(I27:I34)</f>
        <v>72.45</v>
      </c>
    </row>
    <row r="39" spans="2:29" x14ac:dyDescent="0.3">
      <c r="B39" s="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65"/>
      <c r="Y39" s="20"/>
      <c r="Z39" s="20"/>
    </row>
    <row r="40" spans="2:29" x14ac:dyDescent="0.3">
      <c r="B40" s="5"/>
      <c r="C40" s="5"/>
      <c r="D40" s="5"/>
      <c r="E40" s="5"/>
      <c r="F40" s="5"/>
      <c r="G40" s="5"/>
      <c r="H40" s="5"/>
      <c r="I40" s="5"/>
      <c r="J40" s="5"/>
      <c r="K40" s="5"/>
      <c r="L40" s="21"/>
      <c r="M40" s="21"/>
      <c r="N40" s="21"/>
      <c r="O40" s="21"/>
      <c r="P40" s="21"/>
      <c r="Q40" s="21"/>
      <c r="R40" s="21"/>
      <c r="S40" s="21"/>
    </row>
  </sheetData>
  <mergeCells count="4">
    <mergeCell ref="V25:W25"/>
    <mergeCell ref="N24:W24"/>
    <mergeCell ref="D26:D34"/>
    <mergeCell ref="O25:U26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4D20-B67D-458E-A778-AE2B728815F3}">
  <dimension ref="B2:Y30"/>
  <sheetViews>
    <sheetView topLeftCell="F3" workbookViewId="0">
      <selection activeCell="W17" sqref="W17"/>
    </sheetView>
  </sheetViews>
  <sheetFormatPr defaultRowHeight="14.4" x14ac:dyDescent="0.3"/>
  <cols>
    <col min="2" max="2" width="24.21875" customWidth="1"/>
    <col min="3" max="3" width="16.6640625" customWidth="1"/>
    <col min="4" max="4" width="15.5546875" customWidth="1"/>
    <col min="5" max="5" width="12.44140625" customWidth="1"/>
    <col min="6" max="6" width="12.77734375" customWidth="1"/>
    <col min="7" max="7" width="11.33203125" customWidth="1"/>
    <col min="8" max="8" width="12.109375" customWidth="1"/>
    <col min="9" max="9" width="12.33203125" customWidth="1"/>
    <col min="10" max="10" width="9.77734375" customWidth="1"/>
    <col min="16" max="16" width="14.88671875" customWidth="1"/>
    <col min="17" max="17" width="16" customWidth="1"/>
    <col min="20" max="21" width="10.21875" bestFit="1" customWidth="1"/>
  </cols>
  <sheetData>
    <row r="2" spans="2:16" ht="15.6" x14ac:dyDescent="0.35">
      <c r="B2" s="15" t="s">
        <v>57</v>
      </c>
      <c r="C2" s="5">
        <f>230</f>
        <v>230</v>
      </c>
      <c r="D2" t="s">
        <v>58</v>
      </c>
    </row>
    <row r="3" spans="2:16" x14ac:dyDescent="0.3">
      <c r="B3" s="15" t="s">
        <v>204</v>
      </c>
      <c r="C3" s="5">
        <f>0.0172</f>
        <v>1.72E-2</v>
      </c>
      <c r="D3" t="s">
        <v>60</v>
      </c>
      <c r="G3" s="15" t="s">
        <v>59</v>
      </c>
      <c r="H3" s="5">
        <f>0.0225</f>
        <v>2.2499999999999999E-2</v>
      </c>
      <c r="I3" t="s">
        <v>60</v>
      </c>
    </row>
    <row r="4" spans="2:16" ht="15.6" x14ac:dyDescent="0.3">
      <c r="B4" s="16" t="s">
        <v>61</v>
      </c>
      <c r="C4" s="34">
        <f>0.03</f>
        <v>0.03</v>
      </c>
      <c r="D4" s="74" t="s">
        <v>173</v>
      </c>
    </row>
    <row r="5" spans="2:16" x14ac:dyDescent="0.3">
      <c r="B5" s="16"/>
    </row>
    <row r="6" spans="2:16" x14ac:dyDescent="0.3">
      <c r="B6" s="16" t="s">
        <v>62</v>
      </c>
      <c r="C6" s="21">
        <f>1.06*1</f>
        <v>1.06</v>
      </c>
      <c r="D6" t="s">
        <v>205</v>
      </c>
    </row>
    <row r="7" spans="2:16" ht="13.8" customHeight="1" x14ac:dyDescent="0.3">
      <c r="C7" s="16"/>
      <c r="D7" s="17"/>
    </row>
    <row r="8" spans="2:16" x14ac:dyDescent="0.3">
      <c r="C8" s="3"/>
      <c r="N8" s="19"/>
      <c r="O8" s="18"/>
      <c r="P8" s="18"/>
    </row>
    <row r="9" spans="2:16" x14ac:dyDescent="0.3">
      <c r="B9" s="24" t="s">
        <v>134</v>
      </c>
      <c r="G9" s="24" t="s">
        <v>135</v>
      </c>
      <c r="N9" s="19"/>
      <c r="O9" s="18"/>
      <c r="P9" s="18"/>
    </row>
    <row r="10" spans="2:16" x14ac:dyDescent="0.3">
      <c r="C10" t="s">
        <v>63</v>
      </c>
      <c r="H10" s="24" t="s">
        <v>64</v>
      </c>
    </row>
    <row r="11" spans="2:16" ht="15.6" x14ac:dyDescent="0.35">
      <c r="D11" s="15" t="s">
        <v>201</v>
      </c>
      <c r="E11" t="s">
        <v>203</v>
      </c>
      <c r="H11" s="15" t="s">
        <v>65</v>
      </c>
      <c r="I11" s="33">
        <f>J23</f>
        <v>16.037507477489605</v>
      </c>
      <c r="K11" s="5" t="s">
        <v>65</v>
      </c>
      <c r="L11" s="20" t="s">
        <v>66</v>
      </c>
      <c r="M11" s="5" t="s">
        <v>67</v>
      </c>
      <c r="N11" s="20" t="s">
        <v>66</v>
      </c>
      <c r="O11" s="5" t="s">
        <v>68</v>
      </c>
    </row>
    <row r="12" spans="2:16" ht="15.6" x14ac:dyDescent="0.35">
      <c r="C12" t="s">
        <v>69</v>
      </c>
      <c r="H12" s="15" t="s">
        <v>70</v>
      </c>
      <c r="I12" s="3">
        <v>20</v>
      </c>
      <c r="K12" s="21">
        <f>I11</f>
        <v>16.037507477489605</v>
      </c>
      <c r="L12" s="5"/>
      <c r="M12" s="5">
        <f>I14</f>
        <v>20</v>
      </c>
      <c r="N12" s="5"/>
      <c r="O12" s="5">
        <f>I12*C6</f>
        <v>21.200000000000003</v>
      </c>
    </row>
    <row r="13" spans="2:16" x14ac:dyDescent="0.3">
      <c r="D13" s="15" t="s">
        <v>202</v>
      </c>
      <c r="E13" t="s">
        <v>200</v>
      </c>
      <c r="H13" s="15" t="s">
        <v>72</v>
      </c>
      <c r="I13" s="3">
        <v>1.5</v>
      </c>
    </row>
    <row r="14" spans="2:16" ht="15.6" x14ac:dyDescent="0.35">
      <c r="C14" t="s">
        <v>73</v>
      </c>
      <c r="H14" s="15" t="s">
        <v>67</v>
      </c>
      <c r="I14" s="3">
        <v>20</v>
      </c>
    </row>
    <row r="15" spans="2:16" x14ac:dyDescent="0.3">
      <c r="H15" s="24" t="s">
        <v>74</v>
      </c>
    </row>
    <row r="16" spans="2:16" ht="15.6" x14ac:dyDescent="0.35">
      <c r="I16" s="5" t="s">
        <v>75</v>
      </c>
      <c r="J16" s="20" t="s">
        <v>66</v>
      </c>
      <c r="K16" s="5" t="s">
        <v>76</v>
      </c>
      <c r="L16" s="5"/>
    </row>
    <row r="17" spans="2:25" x14ac:dyDescent="0.3">
      <c r="C17" s="16"/>
      <c r="D17" s="34"/>
      <c r="I17" s="5">
        <v>29</v>
      </c>
      <c r="J17" s="5"/>
      <c r="K17" s="5">
        <f>1.45*O12</f>
        <v>30.740000000000002</v>
      </c>
    </row>
    <row r="19" spans="2:25" s="5" customFormat="1" ht="15" thickBot="1" x14ac:dyDescent="0.35"/>
    <row r="20" spans="2:25" s="5" customFormat="1" ht="15" thickBot="1" x14ac:dyDescent="0.35">
      <c r="D20" s="20"/>
      <c r="E20" s="21"/>
      <c r="F20" s="21"/>
      <c r="K20" s="200" t="s">
        <v>140</v>
      </c>
      <c r="L20" s="198"/>
      <c r="M20" s="198"/>
      <c r="N20" s="198"/>
      <c r="O20" s="198"/>
      <c r="P20" s="198"/>
      <c r="Q20" s="198"/>
      <c r="R20" s="198"/>
      <c r="S20" s="198"/>
      <c r="T20" s="199"/>
    </row>
    <row r="21" spans="2:25" s="5" customFormat="1" ht="15" thickBot="1" x14ac:dyDescent="0.35">
      <c r="D21" s="117"/>
      <c r="E21" s="117"/>
      <c r="F21" s="117"/>
      <c r="G21" s="117"/>
      <c r="H21" s="117"/>
      <c r="I21" s="117"/>
      <c r="J21" s="117"/>
      <c r="K21" s="118" t="s">
        <v>156</v>
      </c>
      <c r="L21" s="210" t="s">
        <v>141</v>
      </c>
      <c r="M21" s="210"/>
      <c r="N21" s="210"/>
      <c r="O21" s="210"/>
      <c r="P21" s="210"/>
      <c r="Q21" s="210"/>
      <c r="R21" s="211"/>
      <c r="S21" s="213" t="s">
        <v>147</v>
      </c>
      <c r="T21" s="214"/>
      <c r="U21" s="119" t="s">
        <v>154</v>
      </c>
      <c r="V21" s="120" t="s">
        <v>166</v>
      </c>
      <c r="W21" s="121" t="s">
        <v>85</v>
      </c>
      <c r="X21" s="122" t="s">
        <v>163</v>
      </c>
      <c r="Y21" s="194" t="s">
        <v>244</v>
      </c>
    </row>
    <row r="22" spans="2:25" s="5" customFormat="1" ht="15" thickBot="1" x14ac:dyDescent="0.35">
      <c r="B22" s="73" t="s">
        <v>130</v>
      </c>
      <c r="D22" s="123" t="s">
        <v>78</v>
      </c>
      <c r="E22" s="124" t="s">
        <v>80</v>
      </c>
      <c r="F22" s="124" t="s">
        <v>81</v>
      </c>
      <c r="G22" s="125" t="s">
        <v>175</v>
      </c>
      <c r="H22" s="124" t="s">
        <v>225</v>
      </c>
      <c r="I22" s="124" t="s">
        <v>83</v>
      </c>
      <c r="J22" s="126" t="s">
        <v>84</v>
      </c>
      <c r="K22" s="127" t="s">
        <v>170</v>
      </c>
      <c r="L22" s="212"/>
      <c r="M22" s="212"/>
      <c r="N22" s="212"/>
      <c r="O22" s="212"/>
      <c r="P22" s="212"/>
      <c r="Q22" s="212"/>
      <c r="R22" s="212"/>
      <c r="S22" s="128" t="s">
        <v>148</v>
      </c>
      <c r="T22" s="126" t="s">
        <v>149</v>
      </c>
      <c r="U22" s="129" t="s">
        <v>153</v>
      </c>
      <c r="V22" s="130" t="s">
        <v>167</v>
      </c>
      <c r="W22" s="131" t="s">
        <v>168</v>
      </c>
      <c r="X22" s="132" t="s">
        <v>168</v>
      </c>
      <c r="Y22" s="193" t="s">
        <v>245</v>
      </c>
    </row>
    <row r="23" spans="2:25" s="5" customFormat="1" ht="15.6" thickTop="1" thickBot="1" x14ac:dyDescent="0.35">
      <c r="B23" s="5" t="s">
        <v>161</v>
      </c>
      <c r="C23" s="5" t="s">
        <v>240</v>
      </c>
      <c r="D23" s="97" t="s">
        <v>160</v>
      </c>
      <c r="E23" s="98" t="s">
        <v>174</v>
      </c>
      <c r="F23" s="98">
        <v>8</v>
      </c>
      <c r="G23" s="98">
        <v>0.8</v>
      </c>
      <c r="H23" s="98">
        <v>0.9</v>
      </c>
      <c r="I23" s="98">
        <v>400</v>
      </c>
      <c r="J23" s="102">
        <f>((F23*10^3)/G23)/(SQRT(3)*I23*H23)</f>
        <v>16.037507477489605</v>
      </c>
      <c r="K23" s="97">
        <v>16.014312400000001</v>
      </c>
      <c r="L23" s="99" t="s">
        <v>144</v>
      </c>
      <c r="M23" s="99">
        <v>5</v>
      </c>
      <c r="N23" s="101" t="s">
        <v>146</v>
      </c>
      <c r="O23" s="100">
        <v>2.5</v>
      </c>
      <c r="P23" s="99"/>
      <c r="Q23" s="99"/>
      <c r="R23" s="99"/>
      <c r="S23" s="103" t="s">
        <v>150</v>
      </c>
      <c r="T23" s="104" t="s">
        <v>152</v>
      </c>
      <c r="U23" s="105">
        <v>2.5</v>
      </c>
      <c r="V23" s="98">
        <f>(SQRT(3)*J23*K23*(((1.25*C$3)/U23)*H23+1*SIN(ACOS(H23))))/I23</f>
        <v>0.49336303598368259</v>
      </c>
      <c r="W23" s="101" t="s">
        <v>223</v>
      </c>
      <c r="X23" s="106" t="s">
        <v>224</v>
      </c>
      <c r="Y23" s="5">
        <v>16</v>
      </c>
    </row>
    <row r="24" spans="2:25" s="5" customFormat="1" ht="15" thickBot="1" x14ac:dyDescent="0.35">
      <c r="D24" s="21"/>
      <c r="E24" s="21"/>
      <c r="F24" s="21"/>
      <c r="G24" s="21"/>
      <c r="H24" s="21"/>
      <c r="I24" s="21"/>
      <c r="J24" s="80"/>
      <c r="K24" s="21"/>
      <c r="L24" s="21"/>
      <c r="M24" s="21"/>
      <c r="O24" s="39"/>
      <c r="P24" s="21"/>
      <c r="Q24" s="21"/>
      <c r="R24" s="21"/>
      <c r="S24" s="21"/>
      <c r="T24" s="21"/>
      <c r="U24" s="21"/>
      <c r="V24" s="96"/>
    </row>
    <row r="25" spans="2:25" s="5" customFormat="1" x14ac:dyDescent="0.3">
      <c r="D25" s="133" t="s">
        <v>199</v>
      </c>
      <c r="E25" s="71"/>
      <c r="F25" s="71"/>
      <c r="G25" s="71"/>
      <c r="H25" s="71"/>
      <c r="I25" s="71"/>
      <c r="J25" s="71"/>
      <c r="K25" s="56"/>
      <c r="L25" s="71"/>
      <c r="M25" s="71"/>
      <c r="N25" s="71"/>
      <c r="O25" s="71"/>
      <c r="P25" s="71"/>
      <c r="Q25" s="71"/>
      <c r="R25" s="71"/>
      <c r="S25" s="66"/>
      <c r="T25" s="107"/>
      <c r="U25" s="71"/>
      <c r="V25" s="71"/>
      <c r="W25" s="71"/>
      <c r="X25" s="107"/>
    </row>
    <row r="26" spans="2:25" s="5" customFormat="1" x14ac:dyDescent="0.3">
      <c r="D26" s="108"/>
      <c r="E26" s="5" t="s">
        <v>206</v>
      </c>
      <c r="G26" s="5" t="s">
        <v>132</v>
      </c>
      <c r="H26" s="5" t="s">
        <v>132</v>
      </c>
      <c r="I26" s="5">
        <v>230</v>
      </c>
      <c r="J26" s="96" t="s">
        <v>132</v>
      </c>
      <c r="K26" s="189" t="s">
        <v>132</v>
      </c>
      <c r="S26" s="191" t="s">
        <v>150</v>
      </c>
      <c r="T26" s="110" t="s">
        <v>151</v>
      </c>
      <c r="U26" s="5">
        <v>1.5</v>
      </c>
      <c r="V26" s="109"/>
      <c r="W26" s="5" t="s">
        <v>226</v>
      </c>
      <c r="X26" s="110" t="s">
        <v>227</v>
      </c>
      <c r="Y26" s="5">
        <v>16</v>
      </c>
    </row>
    <row r="27" spans="2:25" s="5" customFormat="1" ht="15" thickBot="1" x14ac:dyDescent="0.35">
      <c r="D27" s="111"/>
      <c r="E27" s="112" t="s">
        <v>207</v>
      </c>
      <c r="F27" s="113"/>
      <c r="G27" s="113" t="s">
        <v>132</v>
      </c>
      <c r="H27" s="113" t="s">
        <v>132</v>
      </c>
      <c r="I27" s="113">
        <v>230</v>
      </c>
      <c r="J27" s="114" t="s">
        <v>132</v>
      </c>
      <c r="K27" s="190" t="s">
        <v>132</v>
      </c>
      <c r="L27" s="113"/>
      <c r="M27" s="113"/>
      <c r="N27" s="113"/>
      <c r="O27" s="113"/>
      <c r="P27" s="113"/>
      <c r="Q27" s="113"/>
      <c r="R27" s="113"/>
      <c r="S27" s="192" t="s">
        <v>150</v>
      </c>
      <c r="T27" s="116" t="s">
        <v>151</v>
      </c>
      <c r="U27" s="113">
        <v>2.5</v>
      </c>
      <c r="V27" s="115"/>
      <c r="W27" s="113" t="s">
        <v>223</v>
      </c>
      <c r="X27" s="116" t="s">
        <v>224</v>
      </c>
      <c r="Y27" s="5">
        <v>16</v>
      </c>
    </row>
    <row r="30" spans="2:25" x14ac:dyDescent="0.3">
      <c r="B30" s="15"/>
      <c r="C30" s="79"/>
    </row>
  </sheetData>
  <mergeCells count="3">
    <mergeCell ref="L21:R22"/>
    <mergeCell ref="S21:T21"/>
    <mergeCell ref="K20:T20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4B01-CE94-415B-85F8-2A82A291F2E1}">
  <dimension ref="B2:Z42"/>
  <sheetViews>
    <sheetView tabSelected="1" topLeftCell="C1" zoomScale="87" zoomScaleNormal="87" workbookViewId="0">
      <selection activeCell="AB35" sqref="AB35"/>
    </sheetView>
  </sheetViews>
  <sheetFormatPr defaultRowHeight="14.4" x14ac:dyDescent="0.3"/>
  <cols>
    <col min="3" max="3" width="17.109375" customWidth="1"/>
    <col min="4" max="4" width="24.21875" customWidth="1"/>
    <col min="5" max="5" width="13.33203125" customWidth="1"/>
    <col min="6" max="6" width="13.5546875" customWidth="1"/>
    <col min="7" max="7" width="12.44140625" customWidth="1"/>
    <col min="8" max="8" width="12.77734375" customWidth="1"/>
    <col min="9" max="9" width="11.33203125" customWidth="1"/>
    <col min="10" max="10" width="12.109375" customWidth="1"/>
    <col min="11" max="11" width="12.33203125" customWidth="1"/>
    <col min="12" max="12" width="8.6640625" customWidth="1"/>
    <col min="14" max="14" width="5.77734375" customWidth="1"/>
    <col min="16" max="18" width="6.6640625" customWidth="1"/>
    <col min="19" max="19" width="16" customWidth="1"/>
    <col min="25" max="25" width="11.88671875" customWidth="1"/>
  </cols>
  <sheetData>
    <row r="2" spans="4:18" ht="15.6" x14ac:dyDescent="0.35">
      <c r="D2" s="15" t="s">
        <v>57</v>
      </c>
      <c r="E2" s="5">
        <f>230</f>
        <v>230</v>
      </c>
      <c r="F2" t="s">
        <v>58</v>
      </c>
    </row>
    <row r="3" spans="4:18" x14ac:dyDescent="0.3">
      <c r="D3" s="15" t="s">
        <v>59</v>
      </c>
      <c r="E3" s="5">
        <v>1.72E-2</v>
      </c>
      <c r="F3" t="s">
        <v>60</v>
      </c>
    </row>
    <row r="4" spans="4:18" x14ac:dyDescent="0.3">
      <c r="D4" s="16" t="s">
        <v>228</v>
      </c>
      <c r="E4" s="34">
        <f>0.03</f>
        <v>0.03</v>
      </c>
      <c r="F4" t="s">
        <v>229</v>
      </c>
    </row>
    <row r="5" spans="4:18" x14ac:dyDescent="0.3">
      <c r="D5" s="16" t="s">
        <v>62</v>
      </c>
      <c r="E5" s="21">
        <f>1</f>
        <v>1</v>
      </c>
      <c r="F5" t="s">
        <v>164</v>
      </c>
    </row>
    <row r="6" spans="4:18" ht="13.8" customHeight="1" x14ac:dyDescent="0.3">
      <c r="E6" s="16"/>
      <c r="F6" s="17"/>
    </row>
    <row r="7" spans="4:18" x14ac:dyDescent="0.3">
      <c r="E7" s="3"/>
      <c r="P7" s="19"/>
      <c r="Q7" s="18"/>
      <c r="R7" s="18"/>
    </row>
    <row r="8" spans="4:18" x14ac:dyDescent="0.3">
      <c r="D8" s="24" t="s">
        <v>134</v>
      </c>
      <c r="I8" s="24" t="s">
        <v>135</v>
      </c>
      <c r="P8" s="19"/>
      <c r="Q8" s="18"/>
      <c r="R8" s="18"/>
    </row>
    <row r="9" spans="4:18" x14ac:dyDescent="0.3">
      <c r="E9" t="s">
        <v>63</v>
      </c>
      <c r="J9" s="24" t="s">
        <v>64</v>
      </c>
    </row>
    <row r="10" spans="4:18" ht="15.6" x14ac:dyDescent="0.35">
      <c r="F10" s="15"/>
      <c r="J10" s="15" t="s">
        <v>65</v>
      </c>
      <c r="K10" s="33">
        <f>J23</f>
        <v>8.695652173913043</v>
      </c>
      <c r="M10" s="5" t="s">
        <v>65</v>
      </c>
      <c r="N10" s="20" t="s">
        <v>66</v>
      </c>
      <c r="O10" s="5" t="s">
        <v>67</v>
      </c>
      <c r="P10" s="20" t="s">
        <v>66</v>
      </c>
      <c r="Q10" s="5" t="s">
        <v>68</v>
      </c>
    </row>
    <row r="11" spans="4:18" ht="15.6" x14ac:dyDescent="0.35">
      <c r="E11" t="s">
        <v>69</v>
      </c>
      <c r="J11" s="15" t="s">
        <v>70</v>
      </c>
      <c r="K11" s="3">
        <v>17.5</v>
      </c>
      <c r="M11" s="21">
        <f>K10</f>
        <v>8.695652173913043</v>
      </c>
      <c r="N11" s="5"/>
      <c r="O11" s="5">
        <f>K13</f>
        <v>16</v>
      </c>
      <c r="P11" s="5"/>
      <c r="Q11" s="5">
        <f>K11*E5</f>
        <v>17.5</v>
      </c>
    </row>
    <row r="12" spans="4:18" x14ac:dyDescent="0.3">
      <c r="F12" s="15"/>
      <c r="G12" s="21"/>
      <c r="J12" s="15" t="s">
        <v>72</v>
      </c>
      <c r="K12" s="3">
        <v>1.5</v>
      </c>
    </row>
    <row r="13" spans="4:18" ht="15.6" x14ac:dyDescent="0.35">
      <c r="E13" t="s">
        <v>73</v>
      </c>
      <c r="J13" s="15" t="s">
        <v>67</v>
      </c>
      <c r="K13" s="3">
        <v>16</v>
      </c>
    </row>
    <row r="14" spans="4:18" x14ac:dyDescent="0.3">
      <c r="J14" s="24" t="s">
        <v>74</v>
      </c>
    </row>
    <row r="15" spans="4:18" ht="15.6" x14ac:dyDescent="0.35">
      <c r="K15" s="5" t="s">
        <v>75</v>
      </c>
      <c r="L15" s="20" t="s">
        <v>66</v>
      </c>
      <c r="M15" s="5" t="s">
        <v>76</v>
      </c>
      <c r="N15" s="5"/>
    </row>
    <row r="16" spans="4:18" x14ac:dyDescent="0.3">
      <c r="E16" s="16"/>
      <c r="F16" s="34"/>
      <c r="K16" s="5">
        <v>23</v>
      </c>
      <c r="L16" s="5"/>
      <c r="M16" s="5">
        <f>1.45*K11</f>
        <v>25.375</v>
      </c>
    </row>
    <row r="19" spans="2:26" ht="15" thickBot="1" x14ac:dyDescent="0.35">
      <c r="E19" s="139"/>
    </row>
    <row r="20" spans="2:26" ht="15" thickBot="1" x14ac:dyDescent="0.35">
      <c r="D20" s="24"/>
      <c r="F20" s="140"/>
      <c r="G20" s="140"/>
      <c r="H20" s="24"/>
      <c r="I20" s="24"/>
      <c r="J20" s="24"/>
      <c r="K20" s="200" t="s">
        <v>140</v>
      </c>
      <c r="L20" s="198"/>
      <c r="M20" s="198"/>
      <c r="N20" s="198"/>
      <c r="O20" s="198"/>
      <c r="P20" s="198"/>
      <c r="Q20" s="198"/>
      <c r="R20" s="198"/>
      <c r="S20" s="198"/>
      <c r="T20" s="199"/>
      <c r="U20" s="24"/>
      <c r="V20" s="24"/>
      <c r="W20" s="24"/>
      <c r="X20" s="24"/>
      <c r="Y20" s="24"/>
    </row>
    <row r="21" spans="2:26" ht="15" thickBot="1" x14ac:dyDescent="0.35">
      <c r="D21" s="140"/>
      <c r="E21" s="166"/>
      <c r="F21" s="140"/>
      <c r="G21" s="140"/>
      <c r="H21" s="140"/>
      <c r="I21" s="140"/>
      <c r="J21" s="140"/>
      <c r="K21" s="118" t="s">
        <v>156</v>
      </c>
      <c r="L21" s="210" t="s">
        <v>141</v>
      </c>
      <c r="M21" s="210"/>
      <c r="N21" s="210"/>
      <c r="O21" s="210"/>
      <c r="P21" s="210"/>
      <c r="Q21" s="210"/>
      <c r="R21" s="210"/>
      <c r="S21" s="215" t="s">
        <v>147</v>
      </c>
      <c r="T21" s="214"/>
      <c r="U21" s="119" t="s">
        <v>154</v>
      </c>
      <c r="V21" s="120" t="s">
        <v>166</v>
      </c>
      <c r="W21" s="121" t="s">
        <v>85</v>
      </c>
      <c r="X21" s="122" t="s">
        <v>163</v>
      </c>
      <c r="Y21" s="194" t="s">
        <v>244</v>
      </c>
    </row>
    <row r="22" spans="2:26" ht="15" thickBot="1" x14ac:dyDescent="0.35">
      <c r="B22" s="4" t="s">
        <v>130</v>
      </c>
      <c r="D22" s="123" t="s">
        <v>78</v>
      </c>
      <c r="E22" s="165" t="s">
        <v>238</v>
      </c>
      <c r="F22" s="124" t="s">
        <v>80</v>
      </c>
      <c r="G22" s="124" t="s">
        <v>81</v>
      </c>
      <c r="H22" s="124" t="s">
        <v>225</v>
      </c>
      <c r="I22" s="124" t="s">
        <v>83</v>
      </c>
      <c r="J22" s="153" t="s">
        <v>84</v>
      </c>
      <c r="K22" s="127" t="s">
        <v>170</v>
      </c>
      <c r="L22" s="212"/>
      <c r="M22" s="212"/>
      <c r="N22" s="212"/>
      <c r="O22" s="212"/>
      <c r="P22" s="212"/>
      <c r="Q22" s="212"/>
      <c r="R22" s="212"/>
      <c r="S22" s="128" t="s">
        <v>148</v>
      </c>
      <c r="T22" s="126" t="s">
        <v>149</v>
      </c>
      <c r="U22" s="129" t="s">
        <v>153</v>
      </c>
      <c r="V22" s="130" t="s">
        <v>167</v>
      </c>
      <c r="W22" s="131" t="s">
        <v>168</v>
      </c>
      <c r="X22" s="132" t="s">
        <v>168</v>
      </c>
      <c r="Y22" s="193" t="s">
        <v>245</v>
      </c>
    </row>
    <row r="23" spans="2:26" ht="15" thickTop="1" x14ac:dyDescent="0.3">
      <c r="B23" s="3" t="s">
        <v>139</v>
      </c>
      <c r="C23" t="s">
        <v>218</v>
      </c>
      <c r="D23" s="83" t="s">
        <v>208</v>
      </c>
      <c r="E23" s="25" t="s">
        <v>120</v>
      </c>
      <c r="F23" s="29" t="s">
        <v>86</v>
      </c>
      <c r="G23" s="29">
        <f>potencia_Apar.!D11</f>
        <v>2</v>
      </c>
      <c r="H23" s="29">
        <f>1</f>
        <v>1</v>
      </c>
      <c r="I23" s="29">
        <f>230</f>
        <v>230</v>
      </c>
      <c r="J23" s="160">
        <f>(G23*10^3)/(I23*H23)</f>
        <v>8.695652173913043</v>
      </c>
      <c r="K23" s="60">
        <f>7.60500709</f>
        <v>7.60500709</v>
      </c>
      <c r="L23" s="161" t="s">
        <v>142</v>
      </c>
      <c r="M23" s="85">
        <v>3</v>
      </c>
      <c r="N23" s="30" t="s">
        <v>145</v>
      </c>
      <c r="O23" s="84">
        <v>2.5</v>
      </c>
      <c r="P23" s="30"/>
      <c r="Q23" s="30"/>
      <c r="R23" s="154"/>
      <c r="S23" s="158" t="s">
        <v>150</v>
      </c>
      <c r="T23" s="62" t="s">
        <v>151</v>
      </c>
      <c r="U23" s="70">
        <v>2.5</v>
      </c>
      <c r="V23" s="35">
        <f>2*J23*K23*(((1.25*E$3)/U23)*H23+1*SIN(ACOS(H23)))*(100/I23)</f>
        <v>0.49454110377315685</v>
      </c>
      <c r="W23" s="26" t="s">
        <v>223</v>
      </c>
      <c r="X23" s="86" t="s">
        <v>224</v>
      </c>
      <c r="Y23" s="5">
        <v>16</v>
      </c>
      <c r="Z23" s="5"/>
    </row>
    <row r="24" spans="2:26" x14ac:dyDescent="0.3">
      <c r="B24" s="3" t="s">
        <v>139</v>
      </c>
      <c r="C24" t="s">
        <v>218</v>
      </c>
      <c r="D24" s="81" t="str">
        <f>potencia_Apar.!B14</f>
        <v>maq. Lavar roupa 8kg</v>
      </c>
      <c r="E24" s="28" t="s">
        <v>120</v>
      </c>
      <c r="F24" s="29" t="s">
        <v>86</v>
      </c>
      <c r="G24" s="29">
        <f>potencia_Apar.!D14</f>
        <v>2</v>
      </c>
      <c r="H24" s="29">
        <v>1</v>
      </c>
      <c r="I24" s="29">
        <f>230</f>
        <v>230</v>
      </c>
      <c r="J24" s="160">
        <f>(G24*10^3)/(I24*H24)</f>
        <v>8.695652173913043</v>
      </c>
      <c r="K24" s="60">
        <f>11.5357594</f>
        <v>11.5357594</v>
      </c>
      <c r="L24" s="161" t="s">
        <v>142</v>
      </c>
      <c r="M24" s="85">
        <v>3</v>
      </c>
      <c r="N24" s="30" t="s">
        <v>145</v>
      </c>
      <c r="O24" s="84">
        <v>2.5</v>
      </c>
      <c r="P24" s="30"/>
      <c r="Q24" s="30"/>
      <c r="R24" s="154"/>
      <c r="S24" s="158" t="s">
        <v>150</v>
      </c>
      <c r="T24" s="62" t="s">
        <v>151</v>
      </c>
      <c r="U24" s="68">
        <v>2.5</v>
      </c>
      <c r="V24" s="35">
        <f>2*J24*K24*(((1.25*E$3)/U24)*H24+1*SIN(ACOS(H24)))/I24</f>
        <v>7.5015146192816632E-3</v>
      </c>
      <c r="W24" s="26" t="s">
        <v>223</v>
      </c>
      <c r="X24" s="86" t="s">
        <v>224</v>
      </c>
      <c r="Y24" s="5">
        <v>16</v>
      </c>
      <c r="Z24" s="5"/>
    </row>
    <row r="25" spans="2:26" x14ac:dyDescent="0.3">
      <c r="B25" s="3" t="s">
        <v>139</v>
      </c>
      <c r="C25" t="s">
        <v>218</v>
      </c>
      <c r="D25" s="81" t="str">
        <f>potencia_Apar.!B15</f>
        <v>maq. secar roupa 7kg</v>
      </c>
      <c r="E25" s="28" t="s">
        <v>120</v>
      </c>
      <c r="F25" s="29" t="s">
        <v>86</v>
      </c>
      <c r="G25" s="29">
        <f>potencia_Apar.!D15</f>
        <v>2</v>
      </c>
      <c r="H25" s="29">
        <f>1</f>
        <v>1</v>
      </c>
      <c r="I25" s="29">
        <f>230</f>
        <v>230</v>
      </c>
      <c r="J25" s="160">
        <f t="shared" ref="J25:J30" si="0">(G25*10^3)/(I25*H25)</f>
        <v>8.695652173913043</v>
      </c>
      <c r="K25" s="60">
        <f>12.8463532</f>
        <v>12.846353199999999</v>
      </c>
      <c r="L25" s="161" t="s">
        <v>142</v>
      </c>
      <c r="M25" s="85">
        <v>3</v>
      </c>
      <c r="N25" s="30" t="s">
        <v>145</v>
      </c>
      <c r="O25" s="84">
        <v>2.5</v>
      </c>
      <c r="P25" s="30"/>
      <c r="Q25" s="30"/>
      <c r="R25" s="154"/>
      <c r="S25" s="158" t="s">
        <v>150</v>
      </c>
      <c r="T25" s="62" t="s">
        <v>151</v>
      </c>
      <c r="U25" s="68">
        <v>2.5</v>
      </c>
      <c r="V25" s="35">
        <f t="shared" ref="V25:V30" si="1">2*J25*K25*(((1.25*E$3)/U25)*H25+1*SIN(ACOS(H25)))*(100/I25)</f>
        <v>0.83537722132325132</v>
      </c>
      <c r="W25" s="26" t="s">
        <v>223</v>
      </c>
      <c r="X25" s="86" t="s">
        <v>224</v>
      </c>
      <c r="Y25" s="5">
        <v>16</v>
      </c>
      <c r="Z25" s="5"/>
    </row>
    <row r="26" spans="2:26" x14ac:dyDescent="0.3">
      <c r="B26" s="3" t="s">
        <v>139</v>
      </c>
      <c r="C26" t="s">
        <v>218</v>
      </c>
      <c r="D26" s="81" t="str">
        <f>potencia_Apar.!B17</f>
        <v>maq. Lavar loiça</v>
      </c>
      <c r="E26" s="28" t="s">
        <v>120</v>
      </c>
      <c r="F26" s="29" t="s">
        <v>86</v>
      </c>
      <c r="G26" s="29">
        <f>potencia_Apar.!D17</f>
        <v>2</v>
      </c>
      <c r="H26" s="29">
        <f>1</f>
        <v>1</v>
      </c>
      <c r="I26" s="29">
        <f>230</f>
        <v>230</v>
      </c>
      <c r="J26" s="160">
        <f t="shared" si="0"/>
        <v>8.695652173913043</v>
      </c>
      <c r="K26" s="60">
        <f>6.47058005</f>
        <v>6.4705800499999997</v>
      </c>
      <c r="L26" s="161" t="s">
        <v>142</v>
      </c>
      <c r="M26" s="85">
        <v>3</v>
      </c>
      <c r="N26" s="30" t="s">
        <v>145</v>
      </c>
      <c r="O26" s="84">
        <v>2.5</v>
      </c>
      <c r="P26" s="30"/>
      <c r="Q26" s="30"/>
      <c r="R26" s="154"/>
      <c r="S26" s="158" t="s">
        <v>150</v>
      </c>
      <c r="T26" s="62" t="s">
        <v>151</v>
      </c>
      <c r="U26" s="68">
        <v>2.5</v>
      </c>
      <c r="V26" s="35">
        <f t="shared" si="1"/>
        <v>0.42077117905482037</v>
      </c>
      <c r="W26" s="26" t="s">
        <v>223</v>
      </c>
      <c r="X26" s="86" t="s">
        <v>224</v>
      </c>
      <c r="Y26" s="5">
        <v>16</v>
      </c>
      <c r="Z26" s="5"/>
    </row>
    <row r="27" spans="2:26" ht="15" customHeight="1" x14ac:dyDescent="0.3">
      <c r="B27" s="3" t="s">
        <v>139</v>
      </c>
      <c r="C27" t="s">
        <v>218</v>
      </c>
      <c r="D27" s="81" t="s">
        <v>196</v>
      </c>
      <c r="E27" s="28" t="s">
        <v>120</v>
      </c>
      <c r="F27" s="29" t="s">
        <v>86</v>
      </c>
      <c r="G27" s="29">
        <f>potencia_Apar.!H10</f>
        <v>3</v>
      </c>
      <c r="H27" s="29">
        <f>1</f>
        <v>1</v>
      </c>
      <c r="I27" s="29">
        <f>230</f>
        <v>230</v>
      </c>
      <c r="J27" s="160">
        <f t="shared" si="0"/>
        <v>13.043478260869565</v>
      </c>
      <c r="K27" s="60">
        <f>2.98358241</f>
        <v>2.9835824099999999</v>
      </c>
      <c r="L27" s="161" t="s">
        <v>209</v>
      </c>
      <c r="M27" s="85">
        <v>3</v>
      </c>
      <c r="N27" s="30" t="s">
        <v>145</v>
      </c>
      <c r="O27" s="84">
        <v>2.5</v>
      </c>
      <c r="P27" s="30"/>
      <c r="Q27" s="30"/>
      <c r="R27" s="154"/>
      <c r="S27" s="158" t="s">
        <v>150</v>
      </c>
      <c r="T27" s="62" t="s">
        <v>151</v>
      </c>
      <c r="U27" s="68">
        <v>2.5</v>
      </c>
      <c r="V27" s="35">
        <f t="shared" si="1"/>
        <v>0.29102618592816631</v>
      </c>
      <c r="W27" s="26" t="s">
        <v>223</v>
      </c>
      <c r="X27" s="86" t="s">
        <v>224</v>
      </c>
      <c r="Y27" s="5">
        <v>16</v>
      </c>
      <c r="Z27" s="5"/>
    </row>
    <row r="28" spans="2:26" x14ac:dyDescent="0.3">
      <c r="B28" s="3" t="s">
        <v>139</v>
      </c>
      <c r="C28" t="s">
        <v>218</v>
      </c>
      <c r="D28" s="81" t="str">
        <f>potencia_Apar.!F21</f>
        <v>Carro eletrico(lento)</v>
      </c>
      <c r="E28" s="28" t="s">
        <v>120</v>
      </c>
      <c r="F28" s="29" t="s">
        <v>86</v>
      </c>
      <c r="G28" s="29">
        <v>3.68</v>
      </c>
      <c r="H28" s="29">
        <f>1</f>
        <v>1</v>
      </c>
      <c r="I28" s="29">
        <f>230</f>
        <v>230</v>
      </c>
      <c r="J28" s="160">
        <f t="shared" si="0"/>
        <v>16</v>
      </c>
      <c r="K28" s="60">
        <v>19.836796</v>
      </c>
      <c r="L28" s="161" t="s">
        <v>142</v>
      </c>
      <c r="M28" s="85">
        <v>3</v>
      </c>
      <c r="N28" s="30" t="s">
        <v>145</v>
      </c>
      <c r="O28" s="84">
        <v>2.5</v>
      </c>
      <c r="P28" s="30"/>
      <c r="Q28" s="30"/>
      <c r="R28" s="154"/>
      <c r="S28" s="158" t="s">
        <v>150</v>
      </c>
      <c r="T28" s="62" t="s">
        <v>152</v>
      </c>
      <c r="U28" s="68">
        <v>2.5</v>
      </c>
      <c r="V28" s="35">
        <f t="shared" si="1"/>
        <v>2.3735157648695653</v>
      </c>
      <c r="W28" s="26" t="s">
        <v>223</v>
      </c>
      <c r="X28" s="86" t="s">
        <v>224</v>
      </c>
      <c r="Y28" s="5">
        <v>16</v>
      </c>
      <c r="Z28" s="5"/>
    </row>
    <row r="29" spans="2:26" x14ac:dyDescent="0.3">
      <c r="B29" s="3" t="s">
        <v>139</v>
      </c>
      <c r="C29" t="s">
        <v>218</v>
      </c>
      <c r="D29" s="81" t="s">
        <v>195</v>
      </c>
      <c r="E29" s="28" t="s">
        <v>120</v>
      </c>
      <c r="F29" s="29" t="s">
        <v>86</v>
      </c>
      <c r="G29" s="29">
        <f>potencia_Apar.!H25</f>
        <v>2.4</v>
      </c>
      <c r="H29" s="29">
        <f>1</f>
        <v>1</v>
      </c>
      <c r="I29" s="29">
        <f>230</f>
        <v>230</v>
      </c>
      <c r="J29" s="160">
        <f t="shared" si="0"/>
        <v>10.434782608695652</v>
      </c>
      <c r="K29" s="60">
        <f>2.71431694</f>
        <v>2.7143169399999998</v>
      </c>
      <c r="L29" s="161" t="s">
        <v>142</v>
      </c>
      <c r="M29" s="85">
        <v>3</v>
      </c>
      <c r="N29" s="30" t="s">
        <v>145</v>
      </c>
      <c r="O29" s="84">
        <v>2.5</v>
      </c>
      <c r="P29" s="30"/>
      <c r="Q29" s="30"/>
      <c r="R29" s="154"/>
      <c r="S29" s="158" t="s">
        <v>150</v>
      </c>
      <c r="T29" s="62" t="s">
        <v>151</v>
      </c>
      <c r="U29" s="68">
        <v>2.5</v>
      </c>
      <c r="V29" s="35">
        <f t="shared" si="1"/>
        <v>0.21180907993043477</v>
      </c>
      <c r="W29" s="29" t="s">
        <v>223</v>
      </c>
      <c r="X29" s="86" t="s">
        <v>224</v>
      </c>
      <c r="Y29" s="5">
        <v>16</v>
      </c>
      <c r="Z29" s="5"/>
    </row>
    <row r="30" spans="2:26" ht="15" thickBot="1" x14ac:dyDescent="0.35">
      <c r="B30" s="3" t="s">
        <v>139</v>
      </c>
      <c r="C30" t="s">
        <v>218</v>
      </c>
      <c r="D30" s="82" t="s">
        <v>88</v>
      </c>
      <c r="E30" s="69" t="s">
        <v>120</v>
      </c>
      <c r="F30" s="32" t="s">
        <v>86</v>
      </c>
      <c r="G30" s="32">
        <f>potencia_Apar.!H27</f>
        <v>1.2</v>
      </c>
      <c r="H30" s="32">
        <f>1</f>
        <v>1</v>
      </c>
      <c r="I30" s="32">
        <f>230</f>
        <v>230</v>
      </c>
      <c r="J30" s="162">
        <f t="shared" si="0"/>
        <v>5.2173913043478262</v>
      </c>
      <c r="K30" s="61">
        <f>12.1354031</f>
        <v>12.1354031</v>
      </c>
      <c r="L30" s="163" t="s">
        <v>142</v>
      </c>
      <c r="M30" s="47">
        <v>3</v>
      </c>
      <c r="N30" s="43" t="s">
        <v>145</v>
      </c>
      <c r="O30" s="164">
        <v>1.5</v>
      </c>
      <c r="P30" s="43"/>
      <c r="Q30" s="43"/>
      <c r="R30" s="51"/>
      <c r="S30" s="159" t="s">
        <v>150</v>
      </c>
      <c r="T30" s="64" t="s">
        <v>151</v>
      </c>
      <c r="U30" s="69">
        <v>1.5</v>
      </c>
      <c r="V30" s="156">
        <f t="shared" si="1"/>
        <v>0.78914530555765572</v>
      </c>
      <c r="W30" s="32" t="s">
        <v>226</v>
      </c>
      <c r="X30" s="157" t="s">
        <v>227</v>
      </c>
      <c r="Y30" s="5">
        <v>16</v>
      </c>
      <c r="Z30" s="5"/>
    </row>
    <row r="32" spans="2:26" ht="15" thickBot="1" x14ac:dyDescent="0.35">
      <c r="O32" s="175"/>
    </row>
    <row r="33" spans="3:25" ht="15" thickBot="1" x14ac:dyDescent="0.35">
      <c r="C33" s="167" t="s">
        <v>233</v>
      </c>
    </row>
    <row r="34" spans="3:25" x14ac:dyDescent="0.3">
      <c r="C34" s="168"/>
      <c r="D34" s="174" t="s">
        <v>232</v>
      </c>
      <c r="E34" s="176" t="s">
        <v>120</v>
      </c>
      <c r="F34" s="177" t="s">
        <v>86</v>
      </c>
      <c r="G34" s="177">
        <v>1.5</v>
      </c>
      <c r="H34" s="177">
        <v>1</v>
      </c>
      <c r="I34" s="177">
        <v>230</v>
      </c>
      <c r="J34" s="180">
        <f>(G34*10^3)/(I34*H34)</f>
        <v>6.5217391304347823</v>
      </c>
      <c r="K34" s="181">
        <v>14.640268600000001</v>
      </c>
      <c r="L34" s="182" t="s">
        <v>142</v>
      </c>
      <c r="M34" s="183">
        <v>3</v>
      </c>
      <c r="N34" s="184" t="s">
        <v>145</v>
      </c>
      <c r="O34" s="185">
        <v>2.5</v>
      </c>
      <c r="P34" s="184"/>
      <c r="Q34" s="184"/>
      <c r="R34" s="180"/>
      <c r="S34" s="179" t="s">
        <v>150</v>
      </c>
      <c r="T34" s="180" t="s">
        <v>151</v>
      </c>
      <c r="U34" s="176">
        <v>2.5</v>
      </c>
      <c r="V34" s="71"/>
      <c r="W34" s="177" t="s">
        <v>223</v>
      </c>
      <c r="X34" s="178" t="s">
        <v>224</v>
      </c>
      <c r="Y34" s="5">
        <v>16</v>
      </c>
    </row>
    <row r="35" spans="3:25" x14ac:dyDescent="0.3">
      <c r="C35" s="168"/>
      <c r="D35" s="81" t="s">
        <v>230</v>
      </c>
      <c r="E35" s="68" t="s">
        <v>120</v>
      </c>
      <c r="F35" s="29" t="s">
        <v>86</v>
      </c>
      <c r="G35" s="29">
        <v>1.5</v>
      </c>
      <c r="H35" s="29">
        <v>1</v>
      </c>
      <c r="I35" s="29">
        <v>230</v>
      </c>
      <c r="J35" s="62">
        <f t="shared" ref="J35:J41" si="2">(G35*10^3)/(I35*H35)</f>
        <v>6.5217391304347823</v>
      </c>
      <c r="K35" s="60">
        <v>17.083947299999998</v>
      </c>
      <c r="L35" s="172" t="s">
        <v>142</v>
      </c>
      <c r="M35" s="171">
        <v>3</v>
      </c>
      <c r="N35" s="30" t="s">
        <v>145</v>
      </c>
      <c r="O35" s="84">
        <v>2.5</v>
      </c>
      <c r="P35" s="30"/>
      <c r="Q35" s="30"/>
      <c r="R35" s="62"/>
      <c r="S35" s="158" t="s">
        <v>150</v>
      </c>
      <c r="T35" s="62" t="s">
        <v>151</v>
      </c>
      <c r="U35" s="68">
        <v>2.5</v>
      </c>
      <c r="V35" s="5"/>
      <c r="W35" s="29" t="s">
        <v>223</v>
      </c>
      <c r="X35" s="155" t="s">
        <v>224</v>
      </c>
      <c r="Y35" s="5">
        <v>16</v>
      </c>
    </row>
    <row r="36" spans="3:25" ht="15" thickBot="1" x14ac:dyDescent="0.35">
      <c r="C36" s="169"/>
      <c r="D36" s="82" t="s">
        <v>231</v>
      </c>
      <c r="E36" s="69" t="s">
        <v>120</v>
      </c>
      <c r="F36" s="32" t="s">
        <v>86</v>
      </c>
      <c r="G36" s="32">
        <v>1.5</v>
      </c>
      <c r="H36" s="32">
        <v>1</v>
      </c>
      <c r="I36" s="32">
        <v>230</v>
      </c>
      <c r="J36" s="64">
        <f t="shared" si="2"/>
        <v>6.5217391304347823</v>
      </c>
      <c r="K36" s="61">
        <v>13.765429299999999</v>
      </c>
      <c r="L36" s="173" t="s">
        <v>142</v>
      </c>
      <c r="M36" s="186">
        <v>3</v>
      </c>
      <c r="N36" s="43" t="s">
        <v>145</v>
      </c>
      <c r="O36" s="164">
        <v>2.5</v>
      </c>
      <c r="P36" s="43"/>
      <c r="Q36" s="43"/>
      <c r="R36" s="64"/>
      <c r="S36" s="159" t="s">
        <v>150</v>
      </c>
      <c r="T36" s="64" t="s">
        <v>151</v>
      </c>
      <c r="U36" s="69">
        <v>2.5</v>
      </c>
      <c r="V36" s="113"/>
      <c r="W36" s="32" t="s">
        <v>223</v>
      </c>
      <c r="X36" s="157" t="s">
        <v>224</v>
      </c>
      <c r="Y36" s="5">
        <v>16</v>
      </c>
    </row>
    <row r="37" spans="3:25" ht="15" thickBot="1" x14ac:dyDescent="0.35">
      <c r="G37" s="5"/>
      <c r="H37" s="5"/>
      <c r="I37" s="5"/>
      <c r="J37" s="21"/>
      <c r="K37" s="21"/>
      <c r="U37" s="5"/>
      <c r="V37" s="5"/>
      <c r="W37" s="5"/>
      <c r="X37" s="5"/>
      <c r="Y37" s="5"/>
    </row>
    <row r="38" spans="3:25" ht="15" thickBot="1" x14ac:dyDescent="0.35">
      <c r="C38" s="167" t="s">
        <v>234</v>
      </c>
      <c r="G38" s="5"/>
      <c r="J38" s="21"/>
      <c r="K38" s="175"/>
      <c r="W38" s="170"/>
    </row>
    <row r="39" spans="3:25" x14ac:dyDescent="0.3">
      <c r="C39" s="168"/>
      <c r="D39" s="174" t="s">
        <v>235</v>
      </c>
      <c r="E39" s="176" t="s">
        <v>120</v>
      </c>
      <c r="F39" s="177" t="s">
        <v>86</v>
      </c>
      <c r="G39" s="177">
        <v>0.1</v>
      </c>
      <c r="H39" s="177">
        <v>1</v>
      </c>
      <c r="I39" s="177">
        <v>230</v>
      </c>
      <c r="J39" s="187">
        <f t="shared" si="2"/>
        <v>0.43478260869565216</v>
      </c>
      <c r="K39" s="181">
        <v>8.02700383</v>
      </c>
      <c r="L39" s="182" t="s">
        <v>142</v>
      </c>
      <c r="M39" s="183">
        <v>3</v>
      </c>
      <c r="N39" s="184" t="s">
        <v>145</v>
      </c>
      <c r="O39" s="188">
        <v>1.5</v>
      </c>
      <c r="P39" s="184"/>
      <c r="Q39" s="184"/>
      <c r="R39" s="180"/>
      <c r="S39" s="179" t="s">
        <v>150</v>
      </c>
      <c r="T39" s="180" t="s">
        <v>151</v>
      </c>
      <c r="U39" s="176">
        <v>1.5</v>
      </c>
      <c r="V39" s="71"/>
      <c r="W39" s="177" t="s">
        <v>241</v>
      </c>
      <c r="X39" s="195" t="s">
        <v>227</v>
      </c>
      <c r="Y39" s="5">
        <v>16</v>
      </c>
    </row>
    <row r="40" spans="3:25" x14ac:dyDescent="0.3">
      <c r="C40" s="168"/>
      <c r="D40" s="81" t="s">
        <v>236</v>
      </c>
      <c r="E40" s="68" t="s">
        <v>120</v>
      </c>
      <c r="F40" s="29" t="s">
        <v>86</v>
      </c>
      <c r="G40" s="29">
        <v>0.1</v>
      </c>
      <c r="H40" s="29">
        <v>1</v>
      </c>
      <c r="I40" s="29">
        <v>230</v>
      </c>
      <c r="J40" s="154">
        <f t="shared" si="2"/>
        <v>0.43478260869565216</v>
      </c>
      <c r="K40" s="60">
        <v>8.7355369700000001</v>
      </c>
      <c r="L40" s="172" t="s">
        <v>142</v>
      </c>
      <c r="M40" s="171">
        <v>3</v>
      </c>
      <c r="N40" s="30" t="s">
        <v>145</v>
      </c>
      <c r="O40" s="84">
        <v>1.5</v>
      </c>
      <c r="P40" s="30"/>
      <c r="Q40" s="30"/>
      <c r="R40" s="62"/>
      <c r="S40" s="158" t="s">
        <v>150</v>
      </c>
      <c r="T40" s="62" t="s">
        <v>151</v>
      </c>
      <c r="U40" s="68">
        <v>1.5</v>
      </c>
      <c r="V40" s="5"/>
      <c r="W40" s="29" t="s">
        <v>242</v>
      </c>
      <c r="X40" s="196" t="s">
        <v>227</v>
      </c>
      <c r="Y40" s="5">
        <v>16</v>
      </c>
    </row>
    <row r="41" spans="3:25" ht="15" thickBot="1" x14ac:dyDescent="0.35">
      <c r="C41" s="169"/>
      <c r="D41" s="82" t="s">
        <v>237</v>
      </c>
      <c r="E41" s="69" t="s">
        <v>120</v>
      </c>
      <c r="F41" s="32" t="s">
        <v>86</v>
      </c>
      <c r="G41" s="32">
        <v>0.1</v>
      </c>
      <c r="H41" s="32">
        <v>1</v>
      </c>
      <c r="I41" s="32">
        <v>230</v>
      </c>
      <c r="J41" s="51">
        <f t="shared" si="2"/>
        <v>0.43478260869565216</v>
      </c>
      <c r="K41" s="61">
        <v>7.2559671300000002</v>
      </c>
      <c r="L41" s="173" t="s">
        <v>142</v>
      </c>
      <c r="M41" s="186">
        <v>3</v>
      </c>
      <c r="N41" s="43" t="s">
        <v>145</v>
      </c>
      <c r="O41" s="164">
        <v>1.5</v>
      </c>
      <c r="P41" s="43"/>
      <c r="Q41" s="43"/>
      <c r="R41" s="64"/>
      <c r="S41" s="159" t="s">
        <v>150</v>
      </c>
      <c r="T41" s="64" t="s">
        <v>151</v>
      </c>
      <c r="U41" s="69">
        <v>1.5</v>
      </c>
      <c r="V41" s="113"/>
      <c r="W41" s="32" t="s">
        <v>243</v>
      </c>
      <c r="X41" s="197" t="s">
        <v>227</v>
      </c>
      <c r="Y41" s="5">
        <v>16</v>
      </c>
    </row>
    <row r="42" spans="3:25" x14ac:dyDescent="0.3">
      <c r="G42" s="5"/>
    </row>
  </sheetData>
  <mergeCells count="3">
    <mergeCell ref="K20:T20"/>
    <mergeCell ref="L21:R22"/>
    <mergeCell ref="S21:T2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RTIEBT</vt:lpstr>
      <vt:lpstr>potencia_Apar.</vt:lpstr>
      <vt:lpstr>Contador</vt:lpstr>
      <vt:lpstr>QSC</vt:lpstr>
      <vt:lpstr>QE-1A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Vaz</dc:creator>
  <cp:lastModifiedBy>Caetano Luís</cp:lastModifiedBy>
  <dcterms:created xsi:type="dcterms:W3CDTF">2024-12-14T12:54:47Z</dcterms:created>
  <dcterms:modified xsi:type="dcterms:W3CDTF">2025-03-14T18:15:46Z</dcterms:modified>
</cp:coreProperties>
</file>